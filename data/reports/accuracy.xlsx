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" sheetId="1" state="visible" r:id="rId1"/>
    <sheet name="Без OCR" sheetId="2" state="visible" r:id="rId2"/>
    <sheet name="С OCR" sheetId="3" state="visible" r:id="rId3"/>
    <sheet name="VLM текст" sheetId="4" state="visible" r:id="rId4"/>
    <sheet name="VLM текст+фото" sheetId="5" state="visible" r:id="rId5"/>
    <sheet name="VLM текст+фото, малые" sheetId="6" state="visible" r:id="rId6"/>
    <sheet name="VLM без OCR" sheetId="7" state="visible" r:id="rId7"/>
    <sheet name="VLM без OCR, малые" sheetId="8" state="visible" r:id="rId8"/>
    <sheet name="Сервис VLM" sheetId="9" state="visible" r:id="rId9"/>
  </sheets>
  <definedNames>
    <definedName name="_xlnm._FilterDatabase" localSheetId="1" hidden="1">'Без OCR'!$A$1:$R$101</definedName>
    <definedName name="_xlnm._FilterDatabase" localSheetId="2" hidden="1">'С OCR'!$A$1:$R$101</definedName>
    <definedName name="_xlnm._FilterDatabase" localSheetId="3" hidden="1">'VLM текст'!$A$1:$U$101</definedName>
    <definedName name="_xlnm._FilterDatabase" localSheetId="4" hidden="1">'VLM текст+фото'!$A$1:$U$101</definedName>
    <definedName name="_xlnm._FilterDatabase" localSheetId="5" hidden="1">'VLM текст+фото, малые'!$A$1:$U$101</definedName>
    <definedName name="_xlnm._FilterDatabase" localSheetId="6" hidden="1">'VLM без OCR'!$A$1:$U$101</definedName>
    <definedName name="_xlnm._FilterDatabase" localSheetId="7" hidden="1">'VLM без OCR, малые'!$A$1:$U$101</definedName>
    <definedName name="_xlnm._FilterDatabase" localSheetId="8" hidden="1">'Сервис VLM'!$A$1:$U$101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4" fontId="1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4" customWidth="1" min="3" max="3"/>
    <col width="16" customWidth="1" min="4" max="4"/>
    <col width="14" customWidth="1" min="5" max="5"/>
    <col width="12" customWidth="1" min="6" max="6"/>
    <col width="12" customWidth="1" min="7" max="7"/>
    <col width="18" customWidth="1" min="8" max="8"/>
    <col width="14" customWidth="1" min="9" max="9"/>
    <col width="44" customWidth="1" min="10" max="10"/>
    <col width="40" customWidth="1" min="11" max="11"/>
  </cols>
  <sheetData>
    <row r="1">
      <c r="A1" s="1" t="inlineStr">
        <is>
          <t>Как считается</t>
        </is>
      </c>
    </row>
    <row r="2">
      <c r="A2" t="inlineStr">
        <is>
          <t>target — верный slug из ручной разметки (Label Studio → data/labels/real-photos.json).</t>
        </is>
      </c>
    </row>
    <row r="3">
      <c r="A3" t="inlineStr">
        <is>
          <t>top-1…top-5 — выдача на том же фото. Ранг target = MATCH(target; top-1:top-5).</t>
        </is>
      </c>
    </row>
    <row r="4">
      <c r="A4" t="inlineStr">
        <is>
          <t>Верно top-1 = target на 1-м месте; верно top-5 = target в первой пятёрке. Фото без target (нет в каталоге, исключено) не считаются.</t>
        </is>
      </c>
    </row>
    <row r="5">
      <c r="A5" t="inlineStr">
        <is>
          <t>VLM (Qwen3-VL-4B) переставляет первые 5 кандидатов картинки/OCR, поэтому top-5 у VLM-прогонов тот же, что у базы, а top-1 — выбор VLM. Пересобрать таблицу: python -m eval_runner.excel.</t>
        </is>
      </c>
    </row>
    <row r="7">
      <c r="A7" s="2" t="inlineStr">
        <is>
          <t>Набор</t>
        </is>
      </c>
      <c r="B7" s="2" t="inlineStr">
        <is>
          <t>Конфигурация</t>
        </is>
      </c>
      <c r="C7" s="2" t="inlineStr">
        <is>
          <t>Фото</t>
        </is>
      </c>
      <c r="D7" s="2" t="inlineStr">
        <is>
          <t>Верно top-1</t>
        </is>
      </c>
      <c r="E7" s="2" t="inlineStr">
        <is>
          <t>top-1</t>
        </is>
      </c>
      <c r="F7" s="2" t="inlineStr">
        <is>
          <t>Верно top-5</t>
        </is>
      </c>
      <c r="G7" s="2" t="inlineStr">
        <is>
          <t>top-5</t>
        </is>
      </c>
    </row>
    <row r="8">
      <c r="A8" t="inlineStr">
        <is>
          <t>уверенно</t>
        </is>
      </c>
      <c r="B8" t="inlineStr">
        <is>
          <t>Без OCR</t>
        </is>
      </c>
      <c r="C8">
        <f>COUNTIFS('Без OCR'!$B$2:$B$101,"уверенно")</f>
        <v/>
      </c>
      <c r="D8">
        <f>COUNTIFS('Без OCR'!$B$2:$B$101,"уверенно",'Без OCR'!$L$2:$L$101,1)</f>
        <v/>
      </c>
      <c r="E8" s="3">
        <f>IF(C8=0,0,D8/C8)</f>
        <v/>
      </c>
      <c r="F8">
        <f>COUNTIFS('Без OCR'!$B$2:$B$101,"уверенно",'Без OCR'!$M$2:$M$101,1)</f>
        <v/>
      </c>
      <c r="G8" s="3">
        <f>IF(C8=0,0,F8/C8)</f>
        <v/>
      </c>
    </row>
    <row r="9">
      <c r="A9" t="inlineStr">
        <is>
          <t>уверенно</t>
        </is>
      </c>
      <c r="B9" t="inlineStr">
        <is>
          <t>С OCR</t>
        </is>
      </c>
      <c r="C9">
        <f>COUNTIFS('С OCR'!$B$2:$B$101,"уверенно")</f>
        <v/>
      </c>
      <c r="D9">
        <f>COUNTIFS('С OCR'!$B$2:$B$101,"уверенно",'С OCR'!$L$2:$L$101,1)</f>
        <v/>
      </c>
      <c r="E9" s="3">
        <f>IF(C9=0,0,D9/C9)</f>
        <v/>
      </c>
      <c r="F9">
        <f>COUNTIFS('С OCR'!$B$2:$B$101,"уверенно",'С OCR'!$M$2:$M$101,1)</f>
        <v/>
      </c>
      <c r="G9" s="3">
        <f>IF(C9=0,0,F9/C9)</f>
        <v/>
      </c>
    </row>
    <row r="10">
      <c r="A10" t="inlineStr">
        <is>
          <t>уверенно</t>
        </is>
      </c>
      <c r="B10" t="inlineStr">
        <is>
          <t>VLM текст</t>
        </is>
      </c>
      <c r="C10">
        <f>COUNTIFS('VLM текст'!$B$2:$B$101,"уверенно")</f>
        <v/>
      </c>
      <c r="D10">
        <f>COUNTIFS('VLM текст'!$B$2:$B$101,"уверенно",'VLM текст'!$L$2:$L$101,1)</f>
        <v/>
      </c>
      <c r="E10" s="3">
        <f>IF(C10=0,0,D10/C10)</f>
        <v/>
      </c>
      <c r="F10">
        <f>COUNTIFS('VLM текст'!$B$2:$B$101,"уверенно",'VLM текст'!$M$2:$M$101,1)</f>
        <v/>
      </c>
      <c r="G10" s="3">
        <f>IF(C10=0,0,F10/C10)</f>
        <v/>
      </c>
    </row>
    <row r="11">
      <c r="A11" t="inlineStr">
        <is>
          <t>уверенно</t>
        </is>
      </c>
      <c r="B11" t="inlineStr">
        <is>
          <t>VLM текст+фото</t>
        </is>
      </c>
      <c r="C11">
        <f>COUNTIFS('VLM текст+фото'!$B$2:$B$101,"уверенно")</f>
        <v/>
      </c>
      <c r="D11">
        <f>COUNTIFS('VLM текст+фото'!$B$2:$B$101,"уверенно",'VLM текст+фото'!$L$2:$L$101,1)</f>
        <v/>
      </c>
      <c r="E11" s="3">
        <f>IF(C11=0,0,D11/C11)</f>
        <v/>
      </c>
      <c r="F11">
        <f>COUNTIFS('VLM текст+фото'!$B$2:$B$101,"уверенно",'VLM текст+фото'!$M$2:$M$101,1)</f>
        <v/>
      </c>
      <c r="G11" s="3">
        <f>IF(C11=0,0,F11/C11)</f>
        <v/>
      </c>
    </row>
    <row r="12">
      <c r="A12" t="inlineStr">
        <is>
          <t>уверенно</t>
        </is>
      </c>
      <c r="B12" t="inlineStr">
        <is>
          <t>VLM текст+фото, малые</t>
        </is>
      </c>
      <c r="C12">
        <f>COUNTIFS('VLM текст+фото, малые'!$B$2:$B$101,"уверенно")</f>
        <v/>
      </c>
      <c r="D12">
        <f>COUNTIFS('VLM текст+фото, малые'!$B$2:$B$101,"уверенно",'VLM текст+фото, малые'!$L$2:$L$101,1)</f>
        <v/>
      </c>
      <c r="E12" s="3">
        <f>IF(C12=0,0,D12/C12)</f>
        <v/>
      </c>
      <c r="F12">
        <f>COUNTIFS('VLM текст+фото, малые'!$B$2:$B$101,"уверенно",'VLM текст+фото, малые'!$M$2:$M$101,1)</f>
        <v/>
      </c>
      <c r="G12" s="3">
        <f>IF(C12=0,0,F12/C12)</f>
        <v/>
      </c>
    </row>
    <row r="13">
      <c r="A13" t="inlineStr">
        <is>
          <t>уверенно</t>
        </is>
      </c>
      <c r="B13" t="inlineStr">
        <is>
          <t>VLM без OCR</t>
        </is>
      </c>
      <c r="C13">
        <f>COUNTIFS('VLM без OCR'!$B$2:$B$101,"уверенно")</f>
        <v/>
      </c>
      <c r="D13">
        <f>COUNTIFS('VLM без OCR'!$B$2:$B$101,"уверенно",'VLM без OCR'!$L$2:$L$101,1)</f>
        <v/>
      </c>
      <c r="E13" s="3">
        <f>IF(C13=0,0,D13/C13)</f>
        <v/>
      </c>
      <c r="F13">
        <f>COUNTIFS('VLM без OCR'!$B$2:$B$101,"уверенно",'VLM без OCR'!$M$2:$M$101,1)</f>
        <v/>
      </c>
      <c r="G13" s="3">
        <f>IF(C13=0,0,F13/C13)</f>
        <v/>
      </c>
    </row>
    <row r="14">
      <c r="A14" s="1" t="inlineStr">
        <is>
          <t>уверенно</t>
        </is>
      </c>
      <c r="B14" s="1" t="inlineStr">
        <is>
          <t>VLM без OCR, малые</t>
        </is>
      </c>
      <c r="C14" s="1">
        <f>COUNTIFS('VLM без OCR, малые'!$B$2:$B$101,"уверенно")</f>
        <v/>
      </c>
      <c r="D14" s="1">
        <f>COUNTIFS('VLM без OCR, малые'!$B$2:$B$101,"уверенно",'VLM без OCR, малые'!$L$2:$L$101,1)</f>
        <v/>
      </c>
      <c r="E14" s="4">
        <f>IF(C14=0,0,D14/C14)</f>
        <v/>
      </c>
      <c r="F14" s="1">
        <f>COUNTIFS('VLM без OCR, малые'!$B$2:$B$101,"уверенно",'VLM без OCR, малые'!$M$2:$M$101,1)</f>
        <v/>
      </c>
      <c r="G14" s="4">
        <f>IF(C14=0,0,F14/C14)</f>
        <v/>
      </c>
    </row>
    <row r="15">
      <c r="A15" t="inlineStr">
        <is>
          <t>уверенно</t>
        </is>
      </c>
      <c r="B15" t="inlineStr">
        <is>
          <t>Сервис VLM</t>
        </is>
      </c>
      <c r="C15">
        <f>COUNTIFS('Сервис VLM'!$B$2:$B$101,"уверенно")</f>
        <v/>
      </c>
      <c r="D15">
        <f>COUNTIFS('Сервис VLM'!$B$2:$B$101,"уверенно",'Сервис VLM'!$L$2:$L$101,1)</f>
        <v/>
      </c>
      <c r="E15" s="3">
        <f>IF(C15=0,0,D15/C15)</f>
        <v/>
      </c>
      <c r="F15">
        <f>COUNTIFS('Сервис VLM'!$B$2:$B$101,"уверенно",'Сервис VLM'!$M$2:$M$101,1)</f>
        <v/>
      </c>
      <c r="G15" s="3">
        <f>IF(C15=0,0,F15/C15)</f>
        <v/>
      </c>
    </row>
    <row r="16">
      <c r="A16" t="inlineStr">
        <is>
          <t>уверенно + не уверен</t>
        </is>
      </c>
      <c r="B16" t="inlineStr">
        <is>
          <t>Без OCR</t>
        </is>
      </c>
      <c r="C16">
        <f>COUNTIFS('Без OCR'!$B$2:$B$101,"уверенно")+COUNTIFS('Без OCR'!$B$2:$B$101,"не уверен")</f>
        <v/>
      </c>
      <c r="D16">
        <f>COUNTIFS('Без OCR'!$B$2:$B$101,"уверенно",'Без OCR'!$L$2:$L$101,1)+COUNTIFS('Без OCR'!$B$2:$B$101,"не уверен",'Без OCR'!$L$2:$L$101,1)</f>
        <v/>
      </c>
      <c r="E16" s="3">
        <f>IF(C16=0,0,D16/C16)</f>
        <v/>
      </c>
      <c r="F16">
        <f>COUNTIFS('Без OCR'!$B$2:$B$101,"уверенно",'Без OCR'!$M$2:$M$101,1)+COUNTIFS('Без OCR'!$B$2:$B$101,"не уверен",'Без OCR'!$M$2:$M$101,1)</f>
        <v/>
      </c>
      <c r="G16" s="3">
        <f>IF(C16=0,0,F16/C16)</f>
        <v/>
      </c>
    </row>
    <row r="17">
      <c r="A17" t="inlineStr">
        <is>
          <t>уверенно + не уверен</t>
        </is>
      </c>
      <c r="B17" t="inlineStr">
        <is>
          <t>С OCR</t>
        </is>
      </c>
      <c r="C17">
        <f>COUNTIFS('С OCR'!$B$2:$B$101,"уверенно")+COUNTIFS('С OCR'!$B$2:$B$101,"не уверен")</f>
        <v/>
      </c>
      <c r="D17">
        <f>COUNTIFS('С OCR'!$B$2:$B$101,"уверенно",'С OCR'!$L$2:$L$101,1)+COUNTIFS('С OCR'!$B$2:$B$101,"не уверен",'С OCR'!$L$2:$L$101,1)</f>
        <v/>
      </c>
      <c r="E17" s="3">
        <f>IF(C17=0,0,D17/C17)</f>
        <v/>
      </c>
      <c r="F17">
        <f>COUNTIFS('С OCR'!$B$2:$B$101,"уверенно",'С OCR'!$M$2:$M$101,1)+COUNTIFS('С OCR'!$B$2:$B$101,"не уверен",'С OCR'!$M$2:$M$101,1)</f>
        <v/>
      </c>
      <c r="G17" s="3">
        <f>IF(C17=0,0,F17/C17)</f>
        <v/>
      </c>
    </row>
    <row r="18">
      <c r="A18" t="inlineStr">
        <is>
          <t>уверенно + не уверен</t>
        </is>
      </c>
      <c r="B18" t="inlineStr">
        <is>
          <t>VLM текст</t>
        </is>
      </c>
      <c r="C18">
        <f>COUNTIFS('VLM текст'!$B$2:$B$101,"уверенно")+COUNTIFS('VLM текст'!$B$2:$B$101,"не уверен")</f>
        <v/>
      </c>
      <c r="D18">
        <f>COUNTIFS('VLM текст'!$B$2:$B$101,"уверенно",'VLM текст'!$L$2:$L$101,1)+COUNTIFS('VLM текст'!$B$2:$B$101,"не уверен",'VLM текст'!$L$2:$L$101,1)</f>
        <v/>
      </c>
      <c r="E18" s="3">
        <f>IF(C18=0,0,D18/C18)</f>
        <v/>
      </c>
      <c r="F18">
        <f>COUNTIFS('VLM текст'!$B$2:$B$101,"уверенно",'VLM текст'!$M$2:$M$101,1)+COUNTIFS('VLM текст'!$B$2:$B$101,"не уверен",'VLM текст'!$M$2:$M$101,1)</f>
        <v/>
      </c>
      <c r="G18" s="3">
        <f>IF(C18=0,0,F18/C18)</f>
        <v/>
      </c>
    </row>
    <row r="19">
      <c r="A19" t="inlineStr">
        <is>
          <t>уверенно + не уверен</t>
        </is>
      </c>
      <c r="B19" t="inlineStr">
        <is>
          <t>VLM текст+фото</t>
        </is>
      </c>
      <c r="C19">
        <f>COUNTIFS('VLM текст+фото'!$B$2:$B$101,"уверенно")+COUNTIFS('VLM текст+фото'!$B$2:$B$101,"не уверен")</f>
        <v/>
      </c>
      <c r="D19">
        <f>COUNTIFS('VLM текст+фото'!$B$2:$B$101,"уверенно",'VLM текст+фото'!$L$2:$L$101,1)+COUNTIFS('VLM текст+фото'!$B$2:$B$101,"не уверен",'VLM текст+фото'!$L$2:$L$101,1)</f>
        <v/>
      </c>
      <c r="E19" s="3">
        <f>IF(C19=0,0,D19/C19)</f>
        <v/>
      </c>
      <c r="F19">
        <f>COUNTIFS('VLM текст+фото'!$B$2:$B$101,"уверенно",'VLM текст+фото'!$M$2:$M$101,1)+COUNTIFS('VLM текст+фото'!$B$2:$B$101,"не уверен",'VLM текст+фото'!$M$2:$M$101,1)</f>
        <v/>
      </c>
      <c r="G19" s="3">
        <f>IF(C19=0,0,F19/C19)</f>
        <v/>
      </c>
    </row>
    <row r="20">
      <c r="A20" t="inlineStr">
        <is>
          <t>уверенно + не уверен</t>
        </is>
      </c>
      <c r="B20" t="inlineStr">
        <is>
          <t>VLM текст+фото, малые</t>
        </is>
      </c>
      <c r="C20">
        <f>COUNTIFS('VLM текст+фото, малые'!$B$2:$B$101,"уверенно")+COUNTIFS('VLM текст+фото, малые'!$B$2:$B$101,"не уверен")</f>
        <v/>
      </c>
      <c r="D20">
        <f>COUNTIFS('VLM текст+фото, малые'!$B$2:$B$101,"уверенно",'VLM текст+фото, малые'!$L$2:$L$101,1)+COUNTIFS('VLM текст+фото, малые'!$B$2:$B$101,"не уверен",'VLM текст+фото, малые'!$L$2:$L$101,1)</f>
        <v/>
      </c>
      <c r="E20" s="3">
        <f>IF(C20=0,0,D20/C20)</f>
        <v/>
      </c>
      <c r="F20">
        <f>COUNTIFS('VLM текст+фото, малые'!$B$2:$B$101,"уверенно",'VLM текст+фото, малые'!$M$2:$M$101,1)+COUNTIFS('VLM текст+фото, малые'!$B$2:$B$101,"не уверен",'VLM текст+фото, малые'!$M$2:$M$101,1)</f>
        <v/>
      </c>
      <c r="G20" s="3">
        <f>IF(C20=0,0,F20/C20)</f>
        <v/>
      </c>
    </row>
    <row r="21">
      <c r="A21" t="inlineStr">
        <is>
          <t>уверенно + не уверен</t>
        </is>
      </c>
      <c r="B21" t="inlineStr">
        <is>
          <t>VLM без OCR</t>
        </is>
      </c>
      <c r="C21">
        <f>COUNTIFS('VLM без OCR'!$B$2:$B$101,"уверенно")+COUNTIFS('VLM без OCR'!$B$2:$B$101,"не уверен")</f>
        <v/>
      </c>
      <c r="D21">
        <f>COUNTIFS('VLM без OCR'!$B$2:$B$101,"уверенно",'VLM без OCR'!$L$2:$L$101,1)+COUNTIFS('VLM без OCR'!$B$2:$B$101,"не уверен",'VLM без OCR'!$L$2:$L$101,1)</f>
        <v/>
      </c>
      <c r="E21" s="3">
        <f>IF(C21=0,0,D21/C21)</f>
        <v/>
      </c>
      <c r="F21">
        <f>COUNTIFS('VLM без OCR'!$B$2:$B$101,"уверенно",'VLM без OCR'!$M$2:$M$101,1)+COUNTIFS('VLM без OCR'!$B$2:$B$101,"не уверен",'VLM без OCR'!$M$2:$M$101,1)</f>
        <v/>
      </c>
      <c r="G21" s="3">
        <f>IF(C21=0,0,F21/C21)</f>
        <v/>
      </c>
    </row>
    <row r="22">
      <c r="A22" s="1" t="inlineStr">
        <is>
          <t>уверенно + не уверен</t>
        </is>
      </c>
      <c r="B22" s="1" t="inlineStr">
        <is>
          <t>VLM без OCR, малые</t>
        </is>
      </c>
      <c r="C22" s="1">
        <f>COUNTIFS('VLM без OCR, малые'!$B$2:$B$101,"уверенно")+COUNTIFS('VLM без OCR, малые'!$B$2:$B$101,"не уверен")</f>
        <v/>
      </c>
      <c r="D22" s="1">
        <f>COUNTIFS('VLM без OCR, малые'!$B$2:$B$101,"уверенно",'VLM без OCR, малые'!$L$2:$L$101,1)+COUNTIFS('VLM без OCR, малые'!$B$2:$B$101,"не уверен",'VLM без OCR, малые'!$L$2:$L$101,1)</f>
        <v/>
      </c>
      <c r="E22" s="4">
        <f>IF(C22=0,0,D22/C22)</f>
        <v/>
      </c>
      <c r="F22" s="1">
        <f>COUNTIFS('VLM без OCR, малые'!$B$2:$B$101,"уверенно",'VLM без OCR, малые'!$M$2:$M$101,1)+COUNTIFS('VLM без OCR, малые'!$B$2:$B$101,"не уверен",'VLM без OCR, малые'!$M$2:$M$101,1)</f>
        <v/>
      </c>
      <c r="G22" s="4">
        <f>IF(C22=0,0,F22/C22)</f>
        <v/>
      </c>
    </row>
    <row r="23">
      <c r="A23" t="inlineStr">
        <is>
          <t>уверенно + не уверен</t>
        </is>
      </c>
      <c r="B23" t="inlineStr">
        <is>
          <t>Сервис VLM</t>
        </is>
      </c>
      <c r="C23">
        <f>COUNTIFS('Сервис VLM'!$B$2:$B$101,"уверенно")+COUNTIFS('Сервис VLM'!$B$2:$B$101,"не уверен")</f>
        <v/>
      </c>
      <c r="D23">
        <f>COUNTIFS('Сервис VLM'!$B$2:$B$101,"уверенно",'Сервис VLM'!$L$2:$L$101,1)+COUNTIFS('Сервис VLM'!$B$2:$B$101,"не уверен",'Сервис VLM'!$L$2:$L$101,1)</f>
        <v/>
      </c>
      <c r="E23" s="3">
        <f>IF(C23=0,0,D23/C23)</f>
        <v/>
      </c>
      <c r="F23">
        <f>COUNTIFS('Сервис VLM'!$B$2:$B$101,"уверенно",'Сервис VLM'!$M$2:$M$101,1)+COUNTIFS('Сервис VLM'!$B$2:$B$101,"не уверен",'Сервис VLM'!$M$2:$M$101,1)</f>
        <v/>
      </c>
      <c r="G23" s="3">
        <f>IF(C23=0,0,F23/C23)</f>
        <v/>
      </c>
    </row>
    <row r="25">
      <c r="A25" t="inlineStr">
        <is>
          <t>Фото «нет в каталоге»</t>
        </is>
      </c>
      <c r="C25">
        <f>COUNTIFS('С OCR'!$B$2:$B$101,"нет в каталоге")</f>
        <v/>
      </c>
    </row>
    <row r="26">
      <c r="A26" t="inlineStr">
        <is>
          <t>Исключено (две бутылки в кадре)</t>
        </is>
      </c>
      <c r="C26">
        <f>COUNTIFS('С OCR'!$B$2:$B$101,"исключено")</f>
        <v/>
      </c>
    </row>
    <row r="28">
      <c r="A28" s="5" t="inlineStr">
        <is>
          <t>Конфигурация</t>
        </is>
      </c>
      <c r="B28" s="5" t="inlineStr">
        <is>
          <t>OCR</t>
        </is>
      </c>
      <c r="C28" s="5" t="inlineStr">
        <is>
          <t>Вход VLM</t>
        </is>
      </c>
      <c r="D28" s="5" t="inlineStr">
        <is>
          <t>Картинки VLM (фото / эталон)</t>
        </is>
      </c>
      <c r="E28" s="5" t="inlineStr">
        <is>
          <t>VLM, медиана мс</t>
        </is>
      </c>
      <c r="F28" s="5" t="inlineStr">
        <is>
          <t>VLM, p95 мс</t>
        </is>
      </c>
      <c r="G28" s="5" t="inlineStr">
        <is>
          <t>Ответ, p95 мс</t>
        </is>
      </c>
      <c r="H28" s="5" t="inlineStr">
        <is>
          <t>Отказ «нет в каталоге» (P&gt;0,5)</t>
        </is>
      </c>
      <c r="I28" s="5" t="inlineStr">
        <is>
          <t>Ложные отказы</t>
        </is>
      </c>
      <c r="J28" s="5" t="inlineStr">
        <is>
          <t>Файл</t>
        </is>
      </c>
      <c r="K28" s="5" t="inlineStr">
        <is>
          <t>Примечание</t>
        </is>
      </c>
    </row>
    <row r="29">
      <c r="A29" t="inlineStr">
        <is>
          <t>Без OCR</t>
        </is>
      </c>
      <c r="B29" t="inlineStr">
        <is>
          <t>нет</t>
        </is>
      </c>
      <c r="C29" t="inlineStr">
        <is>
          <t>—</t>
        </is>
      </c>
      <c r="D29" t="inlineStr">
        <is>
          <t>—</t>
        </is>
      </c>
      <c r="E29" t="inlineStr">
        <is>
          <t>—</t>
        </is>
      </c>
      <c r="F29" t="inlineStr">
        <is>
          <t>—</t>
        </is>
      </c>
      <c r="G29" t="inlineStr">
        <is>
          <t>416</t>
        </is>
      </c>
      <c r="H29" t="inlineStr">
        <is>
          <t>—</t>
        </is>
      </c>
      <c r="I29" t="inlineStr">
        <is>
          <t>—</t>
        </is>
      </c>
      <c r="J29" t="inlineStr">
        <is>
          <t>data/reports/results.jsonl</t>
        </is>
      </c>
      <c r="K29" t="inlineStr"/>
    </row>
    <row r="30">
      <c r="A30" t="inlineStr">
        <is>
          <t>С OCR</t>
        </is>
      </c>
      <c r="B30" t="inlineStr">
        <is>
          <t>да</t>
        </is>
      </c>
      <c r="C30" t="inlineStr">
        <is>
          <t>—</t>
        </is>
      </c>
      <c r="D30" t="inlineStr">
        <is>
          <t>—</t>
        </is>
      </c>
      <c r="E30" t="inlineStr">
        <is>
          <t>—</t>
        </is>
      </c>
      <c r="F30" t="inlineStr">
        <is>
          <t>—</t>
        </is>
      </c>
      <c r="G30" t="inlineStr">
        <is>
          <t>835</t>
        </is>
      </c>
      <c r="H30" t="inlineStr">
        <is>
          <t>—</t>
        </is>
      </c>
      <c r="I30" t="inlineStr">
        <is>
          <t>—</t>
        </is>
      </c>
      <c r="J30" t="inlineStr">
        <is>
          <t>data/reports/ocr/results.jsonl</t>
        </is>
      </c>
      <c r="K30" t="inlineStr"/>
    </row>
    <row r="31">
      <c r="A31" t="inlineStr">
        <is>
          <t>VLM текст</t>
        </is>
      </c>
      <c r="B31" t="inlineStr">
        <is>
          <t>да</t>
        </is>
      </c>
      <c r="C31" t="inlineStr">
        <is>
          <t>текст карточек</t>
        </is>
      </c>
      <c r="D31" t="inlineStr">
        <is>
          <t>1 Мп</t>
        </is>
      </c>
      <c r="E31" t="inlineStr">
        <is>
          <t>556</t>
        </is>
      </c>
      <c r="F31" t="inlineStr">
        <is>
          <t>595</t>
        </is>
      </c>
      <c r="G31" t="inlineStr">
        <is>
          <t>1427</t>
        </is>
      </c>
      <c r="H31" t="inlineStr">
        <is>
          <t>6 из 33</t>
        </is>
      </c>
      <c r="I31" t="inlineStr">
        <is>
          <t>0 из 66</t>
        </is>
      </c>
      <c r="J31" t="inlineStr">
        <is>
          <t>data/reports/vlm-text/results.jsonl</t>
        </is>
      </c>
      <c r="K31" t="inlineStr"/>
    </row>
    <row r="32">
      <c r="A32" t="inlineStr">
        <is>
          <t>VLM текст+фото</t>
        </is>
      </c>
      <c r="B32" t="inlineStr">
        <is>
          <t>да</t>
        </is>
      </c>
      <c r="C32" t="inlineStr">
        <is>
          <t>текст + эталонные фото</t>
        </is>
      </c>
      <c r="D32" t="inlineStr">
        <is>
          <t>1 Мп / 256k</t>
        </is>
      </c>
      <c r="E32" t="inlineStr">
        <is>
          <t>1095</t>
        </is>
      </c>
      <c r="F32" t="inlineStr">
        <is>
          <t>1832</t>
        </is>
      </c>
      <c r="G32" t="inlineStr">
        <is>
          <t>2417</t>
        </is>
      </c>
      <c r="H32" t="inlineStr">
        <is>
          <t>6 из 33</t>
        </is>
      </c>
      <c r="I32" t="inlineStr">
        <is>
          <t>1 из 66</t>
        </is>
      </c>
      <c r="J32" t="inlineStr">
        <is>
          <t>data/reports/vlm-images/results.jsonl</t>
        </is>
      </c>
      <c r="K32" t="inlineStr"/>
    </row>
    <row r="33">
      <c r="A33" t="inlineStr">
        <is>
          <t>VLM текст+фото, малые</t>
        </is>
      </c>
      <c r="B33" t="inlineStr">
        <is>
          <t>да</t>
        </is>
      </c>
      <c r="C33" t="inlineStr">
        <is>
          <t>текст + эталонные фото</t>
        </is>
      </c>
      <c r="D33" t="inlineStr">
        <is>
          <t>512k / 128k</t>
        </is>
      </c>
      <c r="E33" t="inlineStr">
        <is>
          <t>745</t>
        </is>
      </c>
      <c r="F33" t="inlineStr">
        <is>
          <t>1369</t>
        </is>
      </c>
      <c r="G33" t="inlineStr">
        <is>
          <t>1953</t>
        </is>
      </c>
      <c r="H33" t="inlineStr">
        <is>
          <t>5 из 33</t>
        </is>
      </c>
      <c r="I33" t="inlineStr">
        <is>
          <t>0 из 66</t>
        </is>
      </c>
      <c r="J33" t="inlineStr">
        <is>
          <t>data/reports/vlm-images-small/results.jsonl</t>
        </is>
      </c>
      <c r="K33" t="inlineStr"/>
    </row>
    <row r="34">
      <c r="A34" t="inlineStr">
        <is>
          <t>VLM без OCR</t>
        </is>
      </c>
      <c r="B34" t="inlineStr">
        <is>
          <t>нет</t>
        </is>
      </c>
      <c r="C34" t="inlineStr">
        <is>
          <t>текст + эталонные фото</t>
        </is>
      </c>
      <c r="D34" t="inlineStr">
        <is>
          <t>1 Мп / 256k</t>
        </is>
      </c>
      <c r="E34" t="inlineStr">
        <is>
          <t>1065</t>
        </is>
      </c>
      <c r="F34" t="inlineStr">
        <is>
          <t>1693</t>
        </is>
      </c>
      <c r="G34" t="inlineStr">
        <is>
          <t>2039</t>
        </is>
      </c>
      <c r="H34" t="inlineStr">
        <is>
          <t>7 из 33</t>
        </is>
      </c>
      <c r="I34" t="inlineStr">
        <is>
          <t>1 из 66</t>
        </is>
      </c>
      <c r="J34" t="inlineStr">
        <is>
          <t>data/reports/vlm-images-noocr/results.jsonl</t>
        </is>
      </c>
      <c r="K34" t="inlineStr"/>
    </row>
    <row r="35">
      <c r="A35" t="inlineStr">
        <is>
          <t>VLM без OCR, малые</t>
        </is>
      </c>
      <c r="B35" t="inlineStr">
        <is>
          <t>нет</t>
        </is>
      </c>
      <c r="C35" t="inlineStr">
        <is>
          <t>текст + эталонные фото</t>
        </is>
      </c>
      <c r="D35" t="inlineStr">
        <is>
          <t>512k / 128k</t>
        </is>
      </c>
      <c r="E35" t="inlineStr">
        <is>
          <t>740</t>
        </is>
      </c>
      <c r="F35" t="inlineStr">
        <is>
          <t>1191</t>
        </is>
      </c>
      <c r="G35" t="inlineStr">
        <is>
          <t>1549</t>
        </is>
      </c>
      <c r="H35" t="inlineStr">
        <is>
          <t>6 из 33</t>
        </is>
      </c>
      <c r="I35" t="inlineStr">
        <is>
          <t>0 из 66</t>
        </is>
      </c>
      <c r="J35" t="inlineStr">
        <is>
          <t>data/reports/vlm-images-noocr-small/results.jsonl</t>
        </is>
      </c>
      <c r="K35" t="inlineStr">
        <is>
          <t>лучший вариант</t>
        </is>
      </c>
    </row>
    <row r="36">
      <c r="A36" t="inlineStr">
        <is>
          <t>Сервис VLM</t>
        </is>
      </c>
      <c r="B36" t="inlineStr">
        <is>
          <t>нет</t>
        </is>
      </c>
      <c r="C36" t="inlineStr">
        <is>
          <t>текст + эталонные фото</t>
        </is>
      </c>
      <c r="D36" t="inlineStr">
        <is>
          <t>512k / 128k</t>
        </is>
      </c>
      <c r="E36" t="inlineStr">
        <is>
          <t>726</t>
        </is>
      </c>
      <c r="F36" t="inlineStr">
        <is>
          <t>1199</t>
        </is>
      </c>
      <c r="G36" t="inlineStr">
        <is>
          <t>1682</t>
        </is>
      </c>
      <c r="H36" t="inlineStr">
        <is>
          <t>6 из 33</t>
        </is>
      </c>
      <c r="I36" t="inlineStr">
        <is>
          <t>0 из 66</t>
        </is>
      </c>
      <c r="J36" t="inlineStr">
        <is>
          <t>data/reports/service-vlm/results.jsonl</t>
        </is>
      </c>
      <c r="K36" t="inlineStr">
        <is>
          <t>тот же вариант, встроенный в сервис: WINE_VLM_ENABLED=1, WINE_OCR_ENABLED=0</t>
        </is>
      </c>
    </row>
    <row r="38">
      <c r="A38" t="inlineStr">
        <is>
          <t>«Ответ, p95» у офлайн-прогонов — время сервиса до VLM плюс сам VLM; у «Сервис VLM» — замер клиентом, как у скрипта организатора. SLA — 3 с.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34" customWidth="1" min="3" max="3"/>
    <col width="40" customWidth="1" min="4" max="4"/>
    <col width="30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9" customWidth="1" min="11" max="11"/>
    <col width="9" customWidth="1" min="12" max="12"/>
    <col width="9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12" customWidth="1" min="19" max="19"/>
    <col width="12" customWidth="1" min="20" max="20"/>
    <col width="10" customWidth="1" min="21" max="21"/>
  </cols>
  <sheetData>
    <row r="1">
      <c r="A1" s="5" t="inlineStr">
        <is>
          <t>Фото</t>
        </is>
      </c>
      <c r="B1" s="5" t="inlineStr">
        <is>
          <t>Статус разметки</t>
        </is>
      </c>
      <c r="C1" s="5" t="inlineStr">
        <is>
          <t>target</t>
        </is>
      </c>
      <c r="D1" s="5" t="inlineStr">
        <is>
          <t>target: вино</t>
        </is>
      </c>
      <c r="E1" s="5" t="inlineStr">
        <is>
          <t>Комментарий разметчика</t>
        </is>
      </c>
      <c r="F1" s="5" t="inlineStr">
        <is>
          <t>top-1</t>
        </is>
      </c>
      <c r="G1" s="5" t="inlineStr">
        <is>
          <t>top-2</t>
        </is>
      </c>
      <c r="H1" s="5" t="inlineStr">
        <is>
          <t>top-3</t>
        </is>
      </c>
      <c r="I1" s="5" t="inlineStr">
        <is>
          <t>top-4</t>
        </is>
      </c>
      <c r="J1" s="5" t="inlineStr">
        <is>
          <t>top-5</t>
        </is>
      </c>
      <c r="K1" s="5" t="inlineStr">
        <is>
          <t>Ранг target</t>
        </is>
      </c>
      <c r="L1" s="5" t="inlineStr">
        <is>
          <t>Верно top-1</t>
        </is>
      </c>
      <c r="M1" s="5" t="inlineStr">
        <is>
          <t>Верно top-5</t>
        </is>
      </c>
      <c r="N1" s="5" t="inlineStr">
        <is>
          <t>top-1: вино</t>
        </is>
      </c>
      <c r="O1" s="5" t="inlineStr">
        <is>
          <t>top-2: вино</t>
        </is>
      </c>
      <c r="P1" s="5" t="inlineStr">
        <is>
          <t>top-3: вино</t>
        </is>
      </c>
      <c r="Q1" s="5" t="inlineStr">
        <is>
          <t>top-4: вино</t>
        </is>
      </c>
      <c r="R1" s="5" t="inlineStr">
        <is>
          <t>top-5: вино</t>
        </is>
      </c>
    </row>
    <row r="2">
      <c r="A2" t="inlineStr">
        <is>
          <t>1.73_06-09-2026_14-54-06.webp</t>
        </is>
      </c>
      <c r="B2" t="inlineStr">
        <is>
          <t>не уверен</t>
        </is>
      </c>
      <c r="C2" t="inlineStr">
        <is>
          <t>fanagoriya-rose-kaberne-fran-rozovoe-suhoe-13</t>
        </is>
      </c>
      <c r="D2" t="inlineStr">
        <is>
          <t>Rose. Каберне Фран — Фанагория — Розовое сухое</t>
        </is>
      </c>
      <c r="E2" t="inlineStr">
        <is>
          <t>договоримся так, после __ я буду писать свои комментарии. этого вина нет в наборе, но я не уверен</t>
        </is>
      </c>
      <c r="F2" t="inlineStr">
        <is>
          <t>rozovoe-polusladkoe</t>
        </is>
      </c>
      <c r="G2" t="inlineStr">
        <is>
          <t>fanagoriya-beloe-polusladkoe</t>
        </is>
      </c>
      <c r="H2" t="inlineStr">
        <is>
          <t>vinodelnya-pokrovskaya-marinka-marinovskiy-rozovoe-suhoe-123</t>
        </is>
      </c>
      <c r="I2" t="inlineStr">
        <is>
          <t>zolotaya-balka-pink-sira-rozovoe-suhoe-13</t>
        </is>
      </c>
      <c r="J2" t="inlineStr">
        <is>
          <t>roze-1</t>
        </is>
      </c>
      <c r="K2">
        <f>IF(C2="","",IFERROR(MATCH(C2,F2:J2,0),"нет"))</f>
        <v/>
      </c>
      <c r="L2">
        <f>IF(C2="","",IF(K2=1,1,0))</f>
        <v/>
      </c>
      <c r="M2">
        <f>IF(C2="","",IF(ISNUMBER(K2),1,0))</f>
        <v/>
      </c>
      <c r="N2" t="inlineStr">
        <is>
          <t>Розовое полусладкое — Фанагория — Розовое полусладкое</t>
        </is>
      </c>
      <c r="O2" t="inlineStr">
        <is>
          <t>Фанагория белое полусладкое — Фанагория — Белое полусладкое</t>
        </is>
      </c>
      <c r="P2" t="inlineStr">
        <is>
          <t>Маринка — Винодельня Покровская — Розовое сухое</t>
        </is>
      </c>
      <c r="Q2" t="inlineStr">
        <is>
          <t>Pink — Золотая Балка — Розовое сухое</t>
        </is>
      </c>
      <c r="R2" t="inlineStr">
        <is>
          <t>Розе — Галицкий и Галицкий — Розовое сухое</t>
        </is>
      </c>
    </row>
    <row r="3">
      <c r="A3" t="inlineStr">
        <is>
          <t>2.69_27-08-2026_14-29-00.webp</t>
        </is>
      </c>
      <c r="B3" t="inlineStr">
        <is>
          <t>нет в каталоге</t>
        </is>
      </c>
      <c r="F3" t="inlineStr">
        <is>
          <t>shato-pino-gravitatsiya-kaberne-sovinon-merlo-krasnoe-suhoe-135</t>
        </is>
      </c>
      <c r="G3" t="inlineStr">
        <is>
          <t>shato-pino-marselan-merlo-krasnoe-suhoe-13</t>
        </is>
      </c>
      <c r="H3" t="inlineStr">
        <is>
          <t>shato-pino-sovinon-blan-semilon-beloe-suhoe-115</t>
        </is>
      </c>
      <c r="I3" t="inlineStr">
        <is>
          <t>shato-pino-shato-pino-koldun-merlo-krasnoe-suhoe-137</t>
        </is>
      </c>
      <c r="J3" t="inlineStr">
        <is>
          <t>shato-pino-pino-nuar-pino-gri-rozovoe-suhoe-115</t>
        </is>
      </c>
      <c r="K3">
        <f>IF(C3="","",IFERROR(MATCH(C3,F3:J3,0),"нет"))</f>
        <v/>
      </c>
      <c r="L3">
        <f>IF(C3="","",IF(K3=1,1,0))</f>
        <v/>
      </c>
      <c r="M3">
        <f>IF(C3="","",IF(ISNUMBER(K3),1,0))</f>
        <v/>
      </c>
      <c r="N3" t="inlineStr">
        <is>
          <t>Гравитация. Каберне Совиньон - Мерло — Шато Пино — Красное сухое</t>
        </is>
      </c>
      <c r="O3" t="inlineStr">
        <is>
          <t>Марселан - Мерло — Шато Пино — Красное сухое</t>
        </is>
      </c>
      <c r="P3" t="inlineStr">
        <is>
          <t>Совиньон Блан - Семильон — Шато Пино — Белое сухое</t>
        </is>
      </c>
      <c r="Q3" t="inlineStr">
        <is>
          <t>Шато Пино «Колдун» — Шато Пино — Красное сухое</t>
        </is>
      </c>
      <c r="R3" t="inlineStr">
        <is>
          <t>Пино Нуар - Пино Гри — Шато Пино — Розовое сухое</t>
        </is>
      </c>
    </row>
    <row r="4">
      <c r="A4" t="inlineStr">
        <is>
          <t>41.8_22-08-2026_20-56-40.webp</t>
        </is>
      </c>
      <c r="B4" t="inlineStr">
        <is>
          <t>нет в каталоге</t>
        </is>
      </c>
      <c r="F4" t="inlineStr">
        <is>
          <t>bakla-vines-pino-nuar-krasnoe-suhoe-125</t>
        </is>
      </c>
      <c r="G4" t="inlineStr">
        <is>
          <t>usadba-perovskih-pino-nuar-rezerv-krasnoe-suhoe-122</t>
        </is>
      </c>
      <c r="H4" t="inlineStr">
        <is>
          <t>usadba-mezyb-shishka-pino-nuar-rozovoe-suhoe-115</t>
        </is>
      </c>
      <c r="I4" t="inlineStr">
        <is>
          <t>pino-nuar</t>
        </is>
      </c>
      <c r="J4" t="inlineStr">
        <is>
          <t>vaynkraft-pino-nuar-krasnoe-suhoe-13</t>
        </is>
      </c>
      <c r="K4">
        <f>IF(C4="","",IFERROR(MATCH(C4,F4:J4,0),"нет"))</f>
        <v/>
      </c>
      <c r="L4">
        <f>IF(C4="","",IF(K4=1,1,0))</f>
        <v/>
      </c>
      <c r="M4">
        <f>IF(C4="","",IF(ISNUMBER(K4),1,0))</f>
        <v/>
      </c>
      <c r="N4" t="inlineStr">
        <is>
          <t>Пино Нуар — Bakla Vines — Красное сухое</t>
        </is>
      </c>
      <c r="O4" t="inlineStr">
        <is>
          <t>Пино Нуар Резерв — Усадьба Перовских — Красное сухое</t>
        </is>
      </c>
      <c r="P4" t="inlineStr">
        <is>
          <t>Шишка. Пино Нуар — Усадьба Мезыбь — Розовое сухое</t>
        </is>
      </c>
      <c r="Q4" t="inlineStr">
        <is>
          <t>Пино Нуар — Галицкий и Галицкий — Красное сухое</t>
        </is>
      </c>
      <c r="R4" t="inlineStr">
        <is>
          <t>Пино Нуар — ВайнКрафт — Красное сухое</t>
        </is>
      </c>
    </row>
    <row r="5">
      <c r="A5" t="inlineStr">
        <is>
          <t>48.98_02-09-2026_18-34-15.webp</t>
        </is>
      </c>
      <c r="B5" t="inlineStr">
        <is>
          <t>уверенно</t>
        </is>
      </c>
      <c r="C5" t="inlineStr">
        <is>
          <t>denisov_rubin_klaret_krasnaya_strelka</t>
        </is>
      </c>
      <c r="D5" t="inlineStr">
        <is>
          <t>Рубин кларет . Красная стрелка — Denisov Winery — Розовое сухое</t>
        </is>
      </c>
      <c r="F5" t="inlineStr">
        <is>
          <t>denisov_rubin_klaret_krasnaya_strelka</t>
        </is>
      </c>
      <c r="G5" t="inlineStr">
        <is>
          <t>denisov_pino_noir_klaret</t>
        </is>
      </c>
      <c r="H5" t="inlineStr">
        <is>
          <t>gunko-winery-krasnye-gliny-kaberne-fran-krasnoe-suhoe-14</t>
        </is>
      </c>
      <c r="I5" t="inlineStr">
        <is>
          <t>vinodelnya-78-aligote-otbornoe-beloe-suhoe-12</t>
        </is>
      </c>
      <c r="J5" t="inlineStr">
        <is>
          <t>vinodelnya-pokrovskaya-pokrovskoe-sladkoe-krasnoe-kaberne-sovinon-13</t>
        </is>
      </c>
      <c r="K5">
        <f>IF(C5="","",IFERROR(MATCH(C5,F5:J5,0),"нет"))</f>
        <v/>
      </c>
      <c r="L5">
        <f>IF(C5="","",IF(K5=1,1,0))</f>
        <v/>
      </c>
      <c r="M5">
        <f>IF(C5="","",IF(ISNUMBER(K5),1,0))</f>
        <v/>
      </c>
      <c r="N5" t="inlineStr">
        <is>
          <t>Рубин кларет . Красная стрелка — Denisov Winery — Розовое сухое</t>
        </is>
      </c>
      <c r="O5" t="inlineStr">
        <is>
          <t>Пино Нуар кларет. Красная стрелка — Denisov Winery — Розовое сухое</t>
        </is>
      </c>
      <c r="P5" t="inlineStr">
        <is>
          <t>Красные Глины — Gunko Winery — Красное сухое</t>
        </is>
      </c>
      <c r="Q5" t="inlineStr">
        <is>
          <t>Алиготе Отборное — Винодельня 78 — Белое сухое</t>
        </is>
      </c>
      <c r="R5" t="inlineStr">
        <is>
          <t>Покровское сладкое красное — Винодельня Покровская — Красное сладкое</t>
        </is>
      </c>
    </row>
    <row r="6">
      <c r="A6" t="inlineStr">
        <is>
          <t>68.81_05-09-2026_15-46-31.webp</t>
        </is>
      </c>
      <c r="B6" t="inlineStr">
        <is>
          <t>нет в каталоге</t>
        </is>
      </c>
      <c r="F6" t="inlineStr">
        <is>
          <t>soyuz-vino-soyuz-vino-muskat-beloe-polusladkoe-11</t>
        </is>
      </c>
      <c r="G6" t="inlineStr">
        <is>
          <t>vinodelnya-myshako-muskat-avtorskaya-tehnologiya-mono-beloe-suhoe-128</t>
        </is>
      </c>
      <c r="H6" t="inlineStr">
        <is>
          <t>valeriy-zaharin-muskat-valeriy-zaharin-muskat-ottonel-beloe-polusladkoe-12</t>
        </is>
      </c>
      <c r="I6" t="inlineStr">
        <is>
          <t>fanagoriya-ledyanoe-vino-muskat-muskat-ottonel-beloe-sladkoe-11</t>
        </is>
      </c>
      <c r="J6" t="inlineStr">
        <is>
          <t>usadba-markoth-kaberne-sovinon-rezerv-krasnoe-suhoe-13</t>
        </is>
      </c>
      <c r="K6">
        <f>IF(C6="","",IFERROR(MATCH(C6,F6:J6,0),"нет"))</f>
        <v/>
      </c>
      <c r="L6">
        <f>IF(C6="","",IF(K6=1,1,0))</f>
        <v/>
      </c>
      <c r="M6">
        <f>IF(C6="","",IF(ISNUMBER(K6),1,0))</f>
        <v/>
      </c>
      <c r="N6" t="inlineStr">
        <is>
          <t>Союз-Вино Мускат — Союз-Вино — Белое полусладкое</t>
        </is>
      </c>
      <c r="O6" t="inlineStr">
        <is>
          <t>Мускат. Авторская технология. Моно — Мысхако — Белое сухое</t>
        </is>
      </c>
      <c r="P6" t="inlineStr">
        <is>
          <t>Мускат. Валерий Захарьин — Валерий Захарьин — Белое полусладкое</t>
        </is>
      </c>
      <c r="Q6" t="inlineStr">
        <is>
          <t>Ледяное вино. Мускат — Фанагория — Белое сладкое</t>
        </is>
      </c>
      <c r="R6" t="inlineStr">
        <is>
          <t>Каберне Совиньон Резерв — Усадьба Маркотх — Красное сухое</t>
        </is>
      </c>
    </row>
    <row r="7">
      <c r="A7" t="inlineStr">
        <is>
          <t>70.45_04-09-2026_13-35-37.webp</t>
        </is>
      </c>
      <c r="B7" t="inlineStr">
        <is>
          <t>не уверен</t>
        </is>
      </c>
      <c r="C7" t="inlineStr">
        <is>
          <t>fanagoriya-formula-q-kaberne-sovinon-krasnoe-suhoe-135</t>
        </is>
      </c>
      <c r="D7" t="inlineStr">
        <is>
          <t>Формула Q — Фанагория — Красное сухое</t>
        </is>
      </c>
      <c r="E7" t="inlineStr">
        <is>
          <t>на фото слишком яркая этикетка, в каталоге более темная</t>
        </is>
      </c>
      <c r="F7" t="inlineStr">
        <is>
          <t>fanagoriya-formula-q-kaberne-sovinon-krasnoe-suhoe-135</t>
        </is>
      </c>
      <c r="G7" t="inlineStr">
        <is>
          <t>fanagoriya-formula-q-saperavi-krasnoe-suhoe-135</t>
        </is>
      </c>
      <c r="H7" t="inlineStr">
        <is>
          <t>fanagoriya-q-blanc-sovinon-blan-beloe-suhoe-14</t>
        </is>
      </c>
      <c r="I7" t="inlineStr">
        <is>
          <t>fanagoriya-q-bordeaux-blend-kaberne-sovinon-krasnoe-suhoe-135</t>
        </is>
      </c>
      <c r="J7" t="inlineStr">
        <is>
          <t>fanagoriya-beloe-polusladkoe</t>
        </is>
      </c>
      <c r="K7">
        <f>IF(C7="","",IFERROR(MATCH(C7,F7:J7,0),"нет"))</f>
        <v/>
      </c>
      <c r="L7">
        <f>IF(C7="","",IF(K7=1,1,0))</f>
        <v/>
      </c>
      <c r="M7">
        <f>IF(C7="","",IF(ISNUMBER(K7),1,0))</f>
        <v/>
      </c>
      <c r="N7" t="inlineStr">
        <is>
          <t>Формула Q — Фанагория — Красное сухое</t>
        </is>
      </c>
      <c r="O7" t="inlineStr">
        <is>
          <t>Formula Q — Фанагория — Красное сухое</t>
        </is>
      </c>
      <c r="P7" t="inlineStr">
        <is>
          <t>Q Blanc — Фанагория — Белое сухое</t>
        </is>
      </c>
      <c r="Q7" t="inlineStr">
        <is>
          <t>Q Bordeaux Blend — Фанагория — Красное сухое</t>
        </is>
      </c>
      <c r="R7" t="inlineStr">
        <is>
          <t>Фанагория белое полусладкое — Фанагория — Белое полусладкое</t>
        </is>
      </c>
    </row>
    <row r="8">
      <c r="A8" t="inlineStr">
        <is>
          <t>72.97_09-09-2026_19-38-57.webp</t>
        </is>
      </c>
      <c r="B8" t="inlineStr">
        <is>
          <t>нет в каталоге</t>
        </is>
      </c>
      <c r="F8" t="inlineStr">
        <is>
          <t>shato-pino-gravitatsiya-kaberne-sovinon-merlo-krasnoe-suhoe-135</t>
        </is>
      </c>
      <c r="G8" t="inlineStr">
        <is>
          <t>shato-pino-marselan-merlo-krasnoe-suhoe-13</t>
        </is>
      </c>
      <c r="H8" t="inlineStr">
        <is>
          <t>shato-pino-sovinon-blan-semilon-beloe-suhoe-115</t>
        </is>
      </c>
      <c r="I8" t="inlineStr">
        <is>
          <t>shato-pino-grand-reserve-chardonnay-shardone-beloe-suhoe-125</t>
        </is>
      </c>
      <c r="J8" t="inlineStr">
        <is>
          <t>shato-pino-blan-de-blan-shardone-beloe-ekstra-bryut-12</t>
        </is>
      </c>
      <c r="K8">
        <f>IF(C8="","",IFERROR(MATCH(C8,F8:J8,0),"нет"))</f>
        <v/>
      </c>
      <c r="L8">
        <f>IF(C8="","",IF(K8=1,1,0))</f>
        <v/>
      </c>
      <c r="M8">
        <f>IF(C8="","",IF(ISNUMBER(K8),1,0))</f>
        <v/>
      </c>
      <c r="N8" t="inlineStr">
        <is>
          <t>Гравитация. Каберне Совиньон - Мерло — Шато Пино — Красное сухое</t>
        </is>
      </c>
      <c r="O8" t="inlineStr">
        <is>
          <t>Марселан - Мерло — Шато Пино — Красное сухое</t>
        </is>
      </c>
      <c r="P8" t="inlineStr">
        <is>
          <t>Совиньон Блан - Семильон — Шато Пино — Белое сухое</t>
        </is>
      </c>
      <c r="Q8" t="inlineStr">
        <is>
          <t>Grand Reserve Chardonnay — Шато Пино — Белое сухое</t>
        </is>
      </c>
      <c r="R8" t="inlineStr">
        <is>
          <t>Блан Де Блан — Шато Пино — Белое экстра брют</t>
        </is>
      </c>
    </row>
    <row r="9">
      <c r="A9" t="inlineStr">
        <is>
          <t>82.33_27-08-2026_10-03-52.webp</t>
        </is>
      </c>
      <c r="B9" t="inlineStr">
        <is>
          <t>уверенно</t>
        </is>
      </c>
      <c r="C9" t="inlineStr">
        <is>
          <t>skalistyj-bereg-shepot-czvetov</t>
        </is>
      </c>
      <c r="D9" t="inlineStr">
        <is>
          <t>Скалистый берег Шепот цветов — Скалистый берег — Белое сухое</t>
        </is>
      </c>
      <c r="F9" t="inlineStr">
        <is>
          <t>skalistyj-bereg-shepot-czvetov</t>
        </is>
      </c>
      <c r="G9" t="inlineStr">
        <is>
          <t>skalistyy-bereg-melodiya-leta-krasnostop-zolotovskiy-rozovoe-suhoe-126</t>
        </is>
      </c>
      <c r="H9" t="inlineStr">
        <is>
          <t>vysokij-bereg-czvajgelt</t>
        </is>
      </c>
      <c r="I9" t="inlineStr">
        <is>
          <t>skalistyy-bereg-dyhanie-voln-shardone-beloe-suhoe-121</t>
        </is>
      </c>
      <c r="J9" t="inlineStr">
        <is>
          <t>belbek-rkatsiteli-beloe-suhoe-13</t>
        </is>
      </c>
      <c r="K9">
        <f>IF(C9="","",IFERROR(MATCH(C9,F9:J9,0),"нет"))</f>
        <v/>
      </c>
      <c r="L9">
        <f>IF(C9="","",IF(K9=1,1,0))</f>
        <v/>
      </c>
      <c r="M9">
        <f>IF(C9="","",IF(ISNUMBER(K9),1,0))</f>
        <v/>
      </c>
      <c r="N9" t="inlineStr">
        <is>
          <t>Скалистый берег Шепот цветов — Скалистый берег — Белое сухое</t>
        </is>
      </c>
      <c r="O9" t="inlineStr">
        <is>
          <t>Мелодия лета — Скалистый берег — Розовое сухое</t>
        </is>
      </c>
      <c r="P9" t="inlineStr">
        <is>
          <t>Высокий Берег Цвайгельт — Кубань-Вино — Розовое сухое</t>
        </is>
      </c>
      <c r="Q9" t="inlineStr">
        <is>
          <t>Дыхание волн — Скалистый берег — Белое сухое</t>
        </is>
      </c>
      <c r="R9" t="inlineStr">
        <is>
          <t>Ркацители — Бельбек — Белое сухое</t>
        </is>
      </c>
    </row>
    <row r="10">
      <c r="A10" t="inlineStr">
        <is>
          <t>84.73_07-09-2026_11-07-51.webp</t>
        </is>
      </c>
      <c r="B10" t="inlineStr">
        <is>
          <t>уверенно</t>
        </is>
      </c>
      <c r="C10" t="inlineStr">
        <is>
          <t>zhemchuzhnaya-9-aligote-czitron</t>
        </is>
      </c>
      <c r="D10" t="inlineStr">
        <is>
          <t>Жемчужная 9 Алиготе, Цитрон — АРАТТИ — Белое сухое</t>
        </is>
      </c>
      <c r="F10" t="inlineStr">
        <is>
          <t>zhemchuzhnaya-9-aligote-czitron</t>
        </is>
      </c>
      <c r="G10" t="inlineStr">
        <is>
          <t>zhemchuzhnaya-9-czitron-shardone</t>
        </is>
      </c>
      <c r="H10" t="inlineStr">
        <is>
          <t>zhemchuzhnaya-9-sovinon-blan-aligote</t>
        </is>
      </c>
      <c r="I10" t="inlineStr">
        <is>
          <t>zhemchuzhnaya-9-czitron-shardone-1</t>
        </is>
      </c>
      <c r="J10" t="inlineStr">
        <is>
          <t>czitronnyj-magaracha-sovinon-blan</t>
        </is>
      </c>
      <c r="K10">
        <f>IF(C10="","",IFERROR(MATCH(C10,F10:J10,0),"нет"))</f>
        <v/>
      </c>
      <c r="L10">
        <f>IF(C10="","",IF(K10=1,1,0))</f>
        <v/>
      </c>
      <c r="M10">
        <f>IF(C10="","",IF(ISNUMBER(K10),1,0))</f>
        <v/>
      </c>
      <c r="N10" t="inlineStr">
        <is>
          <t>Жемчужная 9 Алиготе, Цитрон — АРАТТИ — Белое сухое</t>
        </is>
      </c>
      <c r="O10" t="inlineStr">
        <is>
          <t>Жемчужная 9 Цитрон, Шардоне — АРАТТИ — Белое сухое</t>
        </is>
      </c>
      <c r="P10" t="inlineStr">
        <is>
          <t>Жемчужная 9 Совиньон блан, Алиготе — АРАТТИ — Белое сухое</t>
        </is>
      </c>
      <c r="Q10" t="inlineStr">
        <is>
          <t>Жемчужная 9 Цитрон, Шардоне — АРАТТИ — Белое полусладкое</t>
        </is>
      </c>
      <c r="R10" t="inlineStr">
        <is>
          <t>Жемчужная 9 Цитрон, Совиньон блан — АРАТТИ — Белое полусухое</t>
        </is>
      </c>
    </row>
    <row r="11">
      <c r="A11" t="inlineStr">
        <is>
          <t>87.09_22-08-2026_20-57-16.webp</t>
        </is>
      </c>
      <c r="B11" t="inlineStr">
        <is>
          <t>уверенно</t>
        </is>
      </c>
      <c r="C11" t="inlineStr">
        <is>
          <t>pobeda</t>
        </is>
      </c>
      <c r="D11" t="inlineStr">
        <is>
          <t>Победа — Табия — Красное сухое</t>
        </is>
      </c>
      <c r="F11" t="inlineStr">
        <is>
          <t>pobeda</t>
        </is>
      </c>
      <c r="G11" t="inlineStr">
        <is>
          <t>vinodelnya-begildeeva-kaberne-sovinon-krasnoe-suhoe-14</t>
        </is>
      </c>
      <c r="H11" t="inlineStr">
        <is>
          <t>rubin-golodrigi</t>
        </is>
      </c>
      <c r="I11" t="inlineStr">
        <is>
          <t>kaberne-sovinon-2</t>
        </is>
      </c>
      <c r="J11" t="inlineStr">
        <is>
          <t>chateau-de-talu-kaberne-sovinon-rezerv-krasnoe-suhoe-14</t>
        </is>
      </c>
      <c r="K11">
        <f>IF(C11="","",IFERROR(MATCH(C11,F11:J11,0),"нет"))</f>
        <v/>
      </c>
      <c r="L11">
        <f>IF(C11="","",IF(K11=1,1,0))</f>
        <v/>
      </c>
      <c r="M11">
        <f>IF(C11="","",IF(ISNUMBER(K11),1,0))</f>
        <v/>
      </c>
      <c r="N11" t="inlineStr">
        <is>
          <t>Победа — Табия — Красное сухое</t>
        </is>
      </c>
      <c r="O11" t="inlineStr">
        <is>
          <t>Каберне Совиньон — Винодельня Бегильдеева — Красное сухое</t>
        </is>
      </c>
      <c r="P11" t="inlineStr">
        <is>
          <t>Рубин Голодриги  — Табия — Красное сухое</t>
        </is>
      </c>
      <c r="Q11" t="inlineStr">
        <is>
          <t>Каберне Совиньон — Табия — Красное сухое</t>
        </is>
      </c>
      <c r="R11" t="inlineStr">
        <is>
          <t>Каберне Совиньон Резерв — Chateau de Talu — Красное сухое</t>
        </is>
      </c>
    </row>
    <row r="12">
      <c r="A12" t="inlineStr">
        <is>
          <t>87.54_03-09-2026_13-27-53.webp</t>
        </is>
      </c>
      <c r="B12" t="inlineStr">
        <is>
          <t>уверенно</t>
        </is>
      </c>
      <c r="C12" t="inlineStr">
        <is>
          <t>relikta-relikta-sira-kaberne-fran-krasnoe-suhoe-13</t>
        </is>
      </c>
      <c r="D12" t="inlineStr">
        <is>
          <t>Реликта Сира, Каберне Фран — Реликта — Красное сухое</t>
        </is>
      </c>
      <c r="F12" t="inlineStr">
        <is>
          <t>relikta-relikta-sira-kaberne-fran-krasnoe-suhoe-13</t>
        </is>
      </c>
      <c r="G12" t="inlineStr">
        <is>
          <t>relikta-relikta-kaberne-sovinon-krasnoe-suhoe-135</t>
        </is>
      </c>
      <c r="H12" t="inlineStr">
        <is>
          <t>relikta-relikta-merlo-kaberne-sovinon-krasnoe-suhoe-135</t>
        </is>
      </c>
      <c r="I12" t="inlineStr">
        <is>
          <t>relikta-relikta-sira-krasnoe-suhoe-13</t>
        </is>
      </c>
      <c r="J12" t="inlineStr">
        <is>
          <t>relikta-relikta-merlo-krasnoe-suhoe-135</t>
        </is>
      </c>
      <c r="K12">
        <f>IF(C12="","",IFERROR(MATCH(C12,F12:J12,0),"нет"))</f>
        <v/>
      </c>
      <c r="L12">
        <f>IF(C12="","",IF(K12=1,1,0))</f>
        <v/>
      </c>
      <c r="M12">
        <f>IF(C12="","",IF(ISNUMBER(K12),1,0))</f>
        <v/>
      </c>
      <c r="N12" t="inlineStr">
        <is>
          <t>Реликта Сира, Каберне Фран — Реликта — Красное сухое</t>
        </is>
      </c>
      <c r="O12" t="inlineStr">
        <is>
          <t>Реликта Каберне Совиньон — Реликта — Красное сухое</t>
        </is>
      </c>
      <c r="P12" t="inlineStr">
        <is>
          <t>Реликта Мерло, Каберне Совиньон — Реликта — Красное сухое</t>
        </is>
      </c>
      <c r="Q12" t="inlineStr">
        <is>
          <t>Реликта Сира — Реликта — Красное сухое</t>
        </is>
      </c>
      <c r="R12" t="inlineStr">
        <is>
          <t>Реликта Мерло — Реликта — Красное сухое</t>
        </is>
      </c>
    </row>
    <row r="13">
      <c r="A13" t="inlineStr">
        <is>
          <t>87.6_20-08-2026_19-56-56.webp</t>
        </is>
      </c>
      <c r="B13" t="inlineStr">
        <is>
          <t>не уверен</t>
        </is>
      </c>
      <c r="C13" t="inlineStr">
        <is>
          <t>leto-shardone-2023-suhoe-beloe</t>
        </is>
      </c>
      <c r="D13" t="inlineStr">
        <is>
          <t>LETO Шардоне 2023 сухое белое — LETO — Белое сухое</t>
        </is>
      </c>
      <c r="E13" t="inlineStr">
        <is>
          <t>есть такое, но на фото черная этикетка вместо белой</t>
        </is>
      </c>
      <c r="F13" t="inlineStr">
        <is>
          <t>vinodelnya-uzunov-shardone-rezerv-beloe-suhoe-135</t>
        </is>
      </c>
      <c r="G13" t="inlineStr">
        <is>
          <t>vinodelnya-konstantina-dzitoeva-kd-shardone-beloe-suhoe-128</t>
        </is>
      </c>
      <c r="H13" t="inlineStr">
        <is>
          <t>vinodelnya-uzunov-nrav-rezerv-krasnostop-zolotovskiy-krasnoe-suhoe-139</t>
        </is>
      </c>
      <c r="I13" t="inlineStr">
        <is>
          <t>vinodelnya-uzunov-rash-rezerv-risling-reynskiy-beloe-suhoe-127</t>
        </is>
      </c>
      <c r="J13" t="inlineStr">
        <is>
          <t>vinodelnya-vedernikov-tsimlyanskiy-chernyy-rezerv-krasnoe-suhoe-145</t>
        </is>
      </c>
      <c r="K13">
        <f>IF(C13="","",IFERROR(MATCH(C13,F13:J13,0),"нет"))</f>
        <v/>
      </c>
      <c r="L13">
        <f>IF(C13="","",IF(K13=1,1,0))</f>
        <v/>
      </c>
      <c r="M13">
        <f>IF(C13="","",IF(ISNUMBER(K13),1,0))</f>
        <v/>
      </c>
      <c r="N13" t="inlineStr">
        <is>
          <t>Шардоне Резерв — Винодельня Узунов — Белое сухое</t>
        </is>
      </c>
      <c r="O13" t="inlineStr">
        <is>
          <t>KD Шардоне — Винодельня Константина Дзитоева — Белое сухое</t>
        </is>
      </c>
      <c r="P13" t="inlineStr">
        <is>
          <t>Нрав Резерв — Винодельня Узунов — Красное сухое</t>
        </is>
      </c>
      <c r="Q13" t="inlineStr">
        <is>
          <t>РАШ Резерв — Винодельня Узунов — Белое сухое</t>
        </is>
      </c>
      <c r="R13" t="inlineStr">
        <is>
          <t>Цимлянский Черный Резерв — Ведерниковъ — Красное сухое</t>
        </is>
      </c>
    </row>
    <row r="14">
      <c r="A14" t="inlineStr">
        <is>
          <t>87.81_09-09-2026_17-16-36.webp</t>
        </is>
      </c>
      <c r="B14" t="inlineStr">
        <is>
          <t>не уверен</t>
        </is>
      </c>
      <c r="C14" t="inlineStr">
        <is>
          <t>aya-organic-wine-vineyards-purity-in-chenin-blanc-shenen-blan-beloe-suhoe-11</t>
        </is>
      </c>
      <c r="D14" t="inlineStr">
        <is>
          <t>Purity in Chenin Blanc — AYA Organic Wine &amp; Vineyards — Белое сухое</t>
        </is>
      </c>
      <c r="E14" t="inlineStr">
        <is>
          <t>есть похожее, но в названии вместо in balance написано in-chenin-blanc</t>
        </is>
      </c>
      <c r="F14" t="inlineStr">
        <is>
          <t>aya-organic-wine-vineyards-purity-in-syrah-sira-rozovoe-suhoe-132</t>
        </is>
      </c>
      <c r="G14" t="inlineStr">
        <is>
          <t>aya-organic-wine-vineyards-purity-in-trinity-pino-nuar-rozovoe-suhoe-13</t>
        </is>
      </c>
      <c r="H14" t="inlineStr">
        <is>
          <t>aya-organic-wine-vineyards-purity-in-syrah-sira-krasnoe-suhoe-146</t>
        </is>
      </c>
      <c r="I14" t="inlineStr">
        <is>
          <t>aya-organic-wine-vineyards-purity-in-merlot-merlo-rozovoe-suhoe-134</t>
        </is>
      </c>
      <c r="J14" t="inlineStr">
        <is>
          <t>aya-organic-wine-vineyards-purity-in-chenin-blanc-shenen-blan-beloe-suhoe-11</t>
        </is>
      </c>
      <c r="K14">
        <f>IF(C14="","",IFERROR(MATCH(C14,F14:J14,0),"нет"))</f>
        <v/>
      </c>
      <c r="L14">
        <f>IF(C14="","",IF(K14=1,1,0))</f>
        <v/>
      </c>
      <c r="M14">
        <f>IF(C14="","",IF(ISNUMBER(K14),1,0))</f>
        <v/>
      </c>
      <c r="N14" t="inlineStr">
        <is>
          <t>Purity in Syrah — AYA Organic Wine &amp; Vineyards — Розовое сухое</t>
        </is>
      </c>
      <c r="O14" t="inlineStr">
        <is>
          <t>Purity in Trinity — AYA Organic Wine &amp; Vineyards — Розовое сухое</t>
        </is>
      </c>
      <c r="P14" t="inlineStr">
        <is>
          <t>Purity in Syrah — AYA Organic Wine &amp; Vineyards — Красное сухое</t>
        </is>
      </c>
      <c r="Q14" t="inlineStr">
        <is>
          <t>Purity in Merlot — AYA Organic Wine &amp; Vineyards — Розовое сухое</t>
        </is>
      </c>
      <c r="R14" t="inlineStr">
        <is>
          <t>Purity in Chenin Blanc — AYA Organic Wine &amp; Vineyards — Белое сухое</t>
        </is>
      </c>
    </row>
    <row r="15">
      <c r="A15" t="inlineStr">
        <is>
          <t>87.88_28-08-2026_16-56-20.webp</t>
        </is>
      </c>
      <c r="B15" t="inlineStr">
        <is>
          <t>не уверен</t>
        </is>
      </c>
      <c r="C15" t="inlineStr">
        <is>
          <t>massandra-muskatel-belyy-belye-sorta-vinograda-beloe-sladkoe-16</t>
        </is>
      </c>
      <c r="D15" t="inlineStr">
        <is>
          <t>Мускатель белый — Массандра — Белое сладкое</t>
        </is>
      </c>
      <c r="E15" t="inlineStr">
        <is>
          <t>есть такое, но год урожая отличается</t>
        </is>
      </c>
      <c r="F15" t="inlineStr">
        <is>
          <t>massandra-muskatel-belyy-belye-sorta-vinograda-beloe-sladkoe-16</t>
        </is>
      </c>
      <c r="G15" t="inlineStr">
        <is>
          <t>massandra-muskatel-rozovyy-belye-sorta-vinograda-rozovoe-sladkoe-16</t>
        </is>
      </c>
      <c r="H15" t="inlineStr">
        <is>
          <t>massandra-muskatel-chernyy-krasnye-sorta-vinograda-krasnoe-sladkoe-16</t>
        </is>
      </c>
      <c r="I15" t="inlineStr">
        <is>
          <t>massandra-muskat-belyy-yuzhnoberezhnyy-beloe-sladkoe-16</t>
        </is>
      </c>
      <c r="J15" t="inlineStr">
        <is>
          <t>massandra-muskat</t>
        </is>
      </c>
      <c r="K15">
        <f>IF(C15="","",IFERROR(MATCH(C15,F15:J15,0),"нет"))</f>
        <v/>
      </c>
      <c r="L15">
        <f>IF(C15="","",IF(K15=1,1,0))</f>
        <v/>
      </c>
      <c r="M15">
        <f>IF(C15="","",IF(ISNUMBER(K15),1,0))</f>
        <v/>
      </c>
      <c r="N15" t="inlineStr">
        <is>
          <t>Мускатель белый — Массандра — Белое сладкое</t>
        </is>
      </c>
      <c r="O15" t="inlineStr">
        <is>
          <t>Мускатель розовый — Массандра — Розовое сладкое</t>
        </is>
      </c>
      <c r="P15" t="inlineStr">
        <is>
          <t>Мускатель черный — Массандра — Красное сладкое</t>
        </is>
      </c>
      <c r="Q15" t="inlineStr">
        <is>
          <t>Мускат Белый Южнобережный — Массандра — Белое сладкое</t>
        </is>
      </c>
      <c r="R15" t="inlineStr">
        <is>
          <t>Массандра Мускат — Массандра — Белое сухое</t>
        </is>
      </c>
    </row>
    <row r="16">
      <c r="A16" t="inlineStr">
        <is>
          <t>88.2_05-09-2026_16-29-06.webp</t>
        </is>
      </c>
      <c r="B16" t="inlineStr">
        <is>
          <t>нет в каталоге</t>
        </is>
      </c>
      <c r="F16" t="inlineStr">
        <is>
          <t>inkerman-shato-ruzh</t>
        </is>
      </c>
      <c r="G16" t="inlineStr">
        <is>
          <t>inkermanskiy-zmv-winemakers-selection-saperavi-krasnoe-polusladkoe-12</t>
        </is>
      </c>
      <c r="H16" t="inlineStr">
        <is>
          <t>vinodelnya-begildeeva-kaberne-sovinon-krasnoe-suhoe-14</t>
        </is>
      </c>
      <c r="I16" t="inlineStr">
        <is>
          <t>inkerman-shato-blan</t>
        </is>
      </c>
      <c r="J16" t="inlineStr">
        <is>
          <t>kuban-vino-kaberne-de-tamane-kaberne-sovinon-krasnoe-suhoe-125</t>
        </is>
      </c>
      <c r="K16">
        <f>IF(C16="","",IFERROR(MATCH(C16,F16:J16,0),"нет"))</f>
        <v/>
      </c>
      <c r="L16">
        <f>IF(C16="","",IF(K16=1,1,0))</f>
        <v/>
      </c>
      <c r="M16">
        <f>IF(C16="","",IF(ISNUMBER(K16),1,0))</f>
        <v/>
      </c>
      <c r="N16" t="inlineStr">
        <is>
          <t>Inkerman Шато Руж — Инкерманский ЗМВ — Красное полусухое</t>
        </is>
      </c>
      <c r="O16" t="inlineStr">
        <is>
          <t>Winemaker's Selection Саперави — Инкерманский ЗМВ — Красное полусладкое</t>
        </is>
      </c>
      <c r="P16" t="inlineStr">
        <is>
          <t>Каберне Совиньон — Винодельня Бегильдеева — Красное сухое</t>
        </is>
      </c>
      <c r="Q16" t="inlineStr">
        <is>
          <t>Инкерман Шато Блан — Инкерманский ЗМВ — Белое полусухое</t>
        </is>
      </c>
      <c r="R16" t="inlineStr">
        <is>
          <t>Каберне де Тамань — Кубань-Вино — Красное сухое</t>
        </is>
      </c>
    </row>
    <row r="17">
      <c r="A17" t="inlineStr">
        <is>
          <t>88.38_20-08-2026_18-32-58.webp</t>
        </is>
      </c>
      <c r="B17" t="inlineStr">
        <is>
          <t>уверенно</t>
        </is>
      </c>
      <c r="C17" t="inlineStr">
        <is>
          <t>czitronnyj-magaracha-sovinon-blan</t>
        </is>
      </c>
      <c r="D17" t="inlineStr">
        <is>
          <t>Жемчужная 9 Цитрон, Совиньон блан — АРАТТИ — Белое полусухое</t>
        </is>
      </c>
      <c r="F17" t="inlineStr">
        <is>
          <t>czitronnyj-magaracha-sovinon-blan</t>
        </is>
      </c>
      <c r="G17" t="inlineStr">
        <is>
          <t>zhemchuzhnaya-9-aligote-czitron</t>
        </is>
      </c>
      <c r="H17" t="inlineStr">
        <is>
          <t>zhemchuzhnaya-9-czitron-shardone</t>
        </is>
      </c>
      <c r="I17" t="inlineStr">
        <is>
          <t>zhemchuzhnaya-9-czitron-shardone-1</t>
        </is>
      </c>
      <c r="J17" t="inlineStr">
        <is>
          <t>zhemchuzhnaya-9-sovinon-blan-aligote</t>
        </is>
      </c>
      <c r="K17">
        <f>IF(C17="","",IFERROR(MATCH(C17,F17:J17,0),"нет"))</f>
        <v/>
      </c>
      <c r="L17">
        <f>IF(C17="","",IF(K17=1,1,0))</f>
        <v/>
      </c>
      <c r="M17">
        <f>IF(C17="","",IF(ISNUMBER(K17),1,0))</f>
        <v/>
      </c>
      <c r="N17" t="inlineStr">
        <is>
          <t>Жемчужная 9 Цитрон, Совиньон блан — АРАТТИ — Белое полусухое</t>
        </is>
      </c>
      <c r="O17" t="inlineStr">
        <is>
          <t>Жемчужная 9 Алиготе, Цитрон — АРАТТИ — Белое сухое</t>
        </is>
      </c>
      <c r="P17" t="inlineStr">
        <is>
          <t>Жемчужная 9 Цитрон, Шардоне — АРАТТИ — Белое сухое</t>
        </is>
      </c>
      <c r="Q17" t="inlineStr">
        <is>
          <t>Жемчужная 9 Цитрон, Шардоне — АРАТТИ — Белое полусладкое</t>
        </is>
      </c>
      <c r="R17" t="inlineStr">
        <is>
          <t>Жемчужная 9 Совиньон блан, Алиготе — АРАТТИ — Белое сухое</t>
        </is>
      </c>
    </row>
    <row r="18">
      <c r="A18" t="inlineStr">
        <is>
          <t>89.65_19-08-2026_19-48-39.webp</t>
        </is>
      </c>
      <c r="B18" t="inlineStr">
        <is>
          <t>уверенно</t>
        </is>
      </c>
      <c r="C18" t="inlineStr">
        <is>
          <t>rozovoe-zoloto</t>
        </is>
      </c>
      <c r="D18" t="inlineStr">
        <is>
          <t>Розовое золото — Табия — Розовое полусухое</t>
        </is>
      </c>
      <c r="F18" t="inlineStr">
        <is>
          <t>rozovoe-zoloto</t>
        </is>
      </c>
      <c r="G18" t="inlineStr">
        <is>
          <t>bukovinka</t>
        </is>
      </c>
      <c r="H18" t="inlineStr">
        <is>
          <t>roze-2</t>
        </is>
      </c>
      <c r="I18" t="inlineStr">
        <is>
          <t>rubin-golodrigi</t>
        </is>
      </c>
      <c r="J18" t="inlineStr">
        <is>
          <t>oleg</t>
        </is>
      </c>
      <c r="K18">
        <f>IF(C18="","",IFERROR(MATCH(C18,F18:J18,0),"нет"))</f>
        <v/>
      </c>
      <c r="L18">
        <f>IF(C18="","",IF(K18=1,1,0))</f>
        <v/>
      </c>
      <c r="M18">
        <f>IF(C18="","",IF(ISNUMBER(K18),1,0))</f>
        <v/>
      </c>
      <c r="N18" t="inlineStr">
        <is>
          <t>Розовое золото — Табия — Розовое полусухое</t>
        </is>
      </c>
      <c r="O18" t="inlineStr">
        <is>
          <t>Буковинка — Табия — Белое полусухое</t>
        </is>
      </c>
      <c r="P18" t="inlineStr">
        <is>
          <t>Розе — Табия — Розовое сухое</t>
        </is>
      </c>
      <c r="Q18" t="inlineStr">
        <is>
          <t>Рубин Голодриги  — Табия — Красное сухое</t>
        </is>
      </c>
      <c r="R18" t="inlineStr">
        <is>
          <t>Олег — Табия — Белое сухое</t>
        </is>
      </c>
    </row>
    <row r="19">
      <c r="A19" t="inlineStr">
        <is>
          <t>90.5_02-09-2026_10-32-11.webp</t>
        </is>
      </c>
      <c r="B19" t="inlineStr">
        <is>
          <t>нет в каталоге</t>
        </is>
      </c>
      <c r="F19" t="inlineStr">
        <is>
          <t>inkerman-shato-ruzh</t>
        </is>
      </c>
      <c r="G19" t="inlineStr">
        <is>
          <t>inkerman-shato-blan</t>
        </is>
      </c>
      <c r="H19" t="inlineStr">
        <is>
          <t>inkerman-muskatnoe-beloe</t>
        </is>
      </c>
      <c r="I19" t="inlineStr">
        <is>
          <t>inkermanskiy-zmv-inkerman-bryut-shardone-beloe-135</t>
        </is>
      </c>
      <c r="J19" t="inlineStr">
        <is>
          <t>inkermanskiy-zmv-inkerman-rozovoe-polusladkoe-rkatsiteli-12</t>
        </is>
      </c>
      <c r="K19">
        <f>IF(C19="","",IFERROR(MATCH(C19,F19:J19,0),"нет"))</f>
        <v/>
      </c>
      <c r="L19">
        <f>IF(C19="","",IF(K19=1,1,0))</f>
        <v/>
      </c>
      <c r="M19">
        <f>IF(C19="","",IF(ISNUMBER(K19),1,0))</f>
        <v/>
      </c>
      <c r="N19" t="inlineStr">
        <is>
          <t>Inkerman Шато Руж — Инкерманский ЗМВ — Красное полусухое</t>
        </is>
      </c>
      <c r="O19" t="inlineStr">
        <is>
          <t>Инкерман Шато Блан — Инкерманский ЗМВ — Белое полусухое</t>
        </is>
      </c>
      <c r="P19" t="inlineStr">
        <is>
          <t>Inkerman Мускатное белое — Инкерманский ЗМВ — Белое полусладкое</t>
        </is>
      </c>
      <c r="Q19" t="inlineStr">
        <is>
          <t>Inkerman брют — Инкерманский ЗМВ — Белое брют</t>
        </is>
      </c>
      <c r="R19" t="inlineStr">
        <is>
          <t>Инкерман Розовое полусладкое — Инкерманский ЗМВ — Розовое полусладкое</t>
        </is>
      </c>
    </row>
    <row r="20">
      <c r="A20" t="inlineStr">
        <is>
          <t>91.07_20-08-2026_18-37-46.webp</t>
        </is>
      </c>
      <c r="B20" t="inlineStr">
        <is>
          <t>уверенно</t>
        </is>
      </c>
      <c r="C20" t="inlineStr">
        <is>
          <t>aratti-kaberne-sovinon-2021-krasnoe-suhoe</t>
        </is>
      </c>
      <c r="D20" t="inlineStr">
        <is>
          <t>АРАТТИ Каберне Совиньон 2021 красное сухое — АРАТТИ — Красное сухое</t>
        </is>
      </c>
      <c r="F20" t="inlineStr">
        <is>
          <t>aratti-kaberne-sovinon-2021-krasnoe-suhoe</t>
        </is>
      </c>
      <c r="G20" t="inlineStr">
        <is>
          <t>aratti-kaberne-sovinon-2020-krasnoe-suhoe</t>
        </is>
      </c>
      <c r="H20" t="inlineStr">
        <is>
          <t>aratti-kaberne-po-belomu</t>
        </is>
      </c>
      <c r="I20" t="inlineStr">
        <is>
          <t>aratti-sovinon-blan-beloe-polusuhoe</t>
        </is>
      </c>
      <c r="J20" t="inlineStr">
        <is>
          <t>aratti-kaberne-po-belomu-1</t>
        </is>
      </c>
      <c r="K20">
        <f>IF(C20="","",IFERROR(MATCH(C20,F20:J20,0),"нет"))</f>
        <v/>
      </c>
      <c r="L20">
        <f>IF(C20="","",IF(K20=1,1,0))</f>
        <v/>
      </c>
      <c r="M20">
        <f>IF(C20="","",IF(ISNUMBER(K20),1,0))</f>
        <v/>
      </c>
      <c r="N20" t="inlineStr">
        <is>
          <t>АРАТТИ Каберне Совиньон 2021 красное сухое — АРАТТИ — Красное сухое</t>
        </is>
      </c>
      <c r="O20" t="inlineStr">
        <is>
          <t>АРАТТИ Каберне Совиньон 2020 красное сухое — АРАТТИ — Красное сухое</t>
        </is>
      </c>
      <c r="P20" t="inlineStr">
        <is>
          <t>АРАТТИ Каберне по-белому — АРАТТИ — Красное сухое</t>
        </is>
      </c>
      <c r="Q20" t="inlineStr">
        <is>
          <t>АРАТТИ Совиньон блан белое полусухое — АРАТТИ — Белое полусухое</t>
        </is>
      </c>
      <c r="R20" t="inlineStr">
        <is>
          <t>АРАТТИ Каберне по-белому — АРАТТИ — Розовое полусухое</t>
        </is>
      </c>
    </row>
    <row r="21">
      <c r="A21" t="inlineStr">
        <is>
          <t>91.43_02-09-2026_12-08-50.webp</t>
        </is>
      </c>
      <c r="B21" t="inlineStr">
        <is>
          <t>уверенно</t>
        </is>
      </c>
      <c r="C21" t="inlineStr">
        <is>
          <t>merlo-2</t>
        </is>
      </c>
      <c r="D21" t="inlineStr">
        <is>
          <t>Мерло — Литавщук. Litavshchuk vineyards &amp; winery — Красное сухое</t>
        </is>
      </c>
      <c r="F21" t="inlineStr">
        <is>
          <t>vinodelnya-begildeeva-merlo-krasnoe-suhoe-14</t>
        </is>
      </c>
      <c r="G21" t="inlineStr">
        <is>
          <t>merlo-2</t>
        </is>
      </c>
      <c r="H21" t="inlineStr">
        <is>
          <t>vinodelnya-begildeeva-kaberne-sovinon-merlo-krasnoe-suhoe-14</t>
        </is>
      </c>
      <c r="I21" t="inlineStr">
        <is>
          <t>merlo</t>
        </is>
      </c>
      <c r="J21" t="inlineStr">
        <is>
          <t>vinodelnya-batrak-merlo-rozovoe-suhoe-13</t>
        </is>
      </c>
      <c r="K21">
        <f>IF(C21="","",IFERROR(MATCH(C21,F21:J21,0),"нет"))</f>
        <v/>
      </c>
      <c r="L21">
        <f>IF(C21="","",IF(K21=1,1,0))</f>
        <v/>
      </c>
      <c r="M21">
        <f>IF(C21="","",IF(ISNUMBER(K21),1,0))</f>
        <v/>
      </c>
      <c r="N21" t="inlineStr">
        <is>
          <t>Мерло — Винодельня Бегильдеева — Красное сухое</t>
        </is>
      </c>
      <c r="O21" t="inlineStr">
        <is>
          <t>Мерло — Литавщук. Litavshchuk vineyards &amp; winery — Красное сухое</t>
        </is>
      </c>
      <c r="P21" t="inlineStr">
        <is>
          <t>Каберне Совиньон – Мерло — Винодельня Бегильдеева — Красное сухое</t>
        </is>
      </c>
      <c r="Q21" t="inlineStr">
        <is>
          <t>Мерло — Галицкий и Галицкий — Красное сухое</t>
        </is>
      </c>
      <c r="R21" t="inlineStr">
        <is>
          <t>Мерло — Винодельня Батрак — Розовое сухое</t>
        </is>
      </c>
    </row>
    <row r="22">
      <c r="A22" t="inlineStr">
        <is>
          <t>92.21_19-08-2026_18-57-31.webp</t>
        </is>
      </c>
      <c r="B22" t="inlineStr">
        <is>
          <t>уверенно</t>
        </is>
      </c>
      <c r="C22" t="inlineStr">
        <is>
          <t>belaya-lvicza</t>
        </is>
      </c>
      <c r="D22" t="inlineStr">
        <is>
          <t>Белая Львица белое полусладкое — АРАТТИ — Белое полусладкое</t>
        </is>
      </c>
      <c r="F22" t="inlineStr">
        <is>
          <t>belaya-lvicza</t>
        </is>
      </c>
      <c r="G22" t="inlineStr">
        <is>
          <t>chernaya-lvicza-polusladkoe-krasnoe</t>
        </is>
      </c>
      <c r="H22" t="inlineStr">
        <is>
          <t>aratti-muskat-belyj-suhoe</t>
        </is>
      </c>
      <c r="I22" t="inlineStr">
        <is>
          <t>rozovaya-pantera</t>
        </is>
      </c>
      <c r="J22" t="inlineStr">
        <is>
          <t>aratti-muskat-belyj-polusuhoe</t>
        </is>
      </c>
      <c r="K22">
        <f>IF(C22="","",IFERROR(MATCH(C22,F22:J22,0),"нет"))</f>
        <v/>
      </c>
      <c r="L22">
        <f>IF(C22="","",IF(K22=1,1,0))</f>
        <v/>
      </c>
      <c r="M22">
        <f>IF(C22="","",IF(ISNUMBER(K22),1,0))</f>
        <v/>
      </c>
      <c r="N22" t="inlineStr">
        <is>
          <t>Белая Львица белое полусладкое — АРАТТИ — Белое полусладкое</t>
        </is>
      </c>
      <c r="O22" t="inlineStr">
        <is>
          <t>Черная Львица полусладкое красное — АРАТТИ — Красное полусладкое</t>
        </is>
      </c>
      <c r="P22" t="inlineStr">
        <is>
          <t>АРАТТИ Мускат белый сухое — АРАТТИ — Белое сухое</t>
        </is>
      </c>
      <c r="Q22" t="inlineStr">
        <is>
          <t>Розовая Пантера полусладкое розовое — АРАТТИ — Розовое полусладкое</t>
        </is>
      </c>
      <c r="R22" t="inlineStr">
        <is>
          <t>АРАТТИ Мускат белый полусухое — АРАТТИ — Белое полусухое</t>
        </is>
      </c>
    </row>
    <row r="23">
      <c r="A23" t="inlineStr">
        <is>
          <t>92.6_07-09-2026_11-04-40.webp</t>
        </is>
      </c>
      <c r="B23" t="inlineStr">
        <is>
          <t>уверенно</t>
        </is>
      </c>
      <c r="C23" t="inlineStr">
        <is>
          <t>aratti-kaberne-sovinon-2020-krasnoe-suhoe</t>
        </is>
      </c>
      <c r="D23" t="inlineStr">
        <is>
          <t>АРАТТИ Каберне Совиньон 2020 красное сухое — АРАТТИ — Красное сухое</t>
        </is>
      </c>
      <c r="F23" t="inlineStr">
        <is>
          <t>aratti-kaberne-sovinon-2020-krasnoe-suhoe</t>
        </is>
      </c>
      <c r="G23" t="inlineStr">
        <is>
          <t>aratti-kaberne-sovinon-2021-krasnoe-suhoe</t>
        </is>
      </c>
      <c r="H23" t="inlineStr">
        <is>
          <t>artvin-kaberne-sovinon-grand-rezerv-krasnoe-suhoe-13</t>
        </is>
      </c>
      <c r="I23" t="inlineStr">
        <is>
          <t>vinodelnya-begildeeva-kaberne-sovinon-krasnoe-suhoe-14</t>
        </is>
      </c>
      <c r="J23" t="inlineStr">
        <is>
          <t>aratti-sovinon-blan-beloe-polusuhoe</t>
        </is>
      </c>
      <c r="K23">
        <f>IF(C23="","",IFERROR(MATCH(C23,F23:J23,0),"нет"))</f>
        <v/>
      </c>
      <c r="L23">
        <f>IF(C23="","",IF(K23=1,1,0))</f>
        <v/>
      </c>
      <c r="M23">
        <f>IF(C23="","",IF(ISNUMBER(K23),1,0))</f>
        <v/>
      </c>
      <c r="N23" t="inlineStr">
        <is>
          <t>АРАТТИ Каберне Совиньон 2020 красное сухое — АРАТТИ — Красное сухое</t>
        </is>
      </c>
      <c r="O23" t="inlineStr">
        <is>
          <t>АРАТТИ Каберне Совиньон 2021 красное сухое — АРАТТИ — Красное сухое</t>
        </is>
      </c>
      <c r="P23" t="inlineStr">
        <is>
          <t>Каберне Совиньон Гранд Резерв — Артвин — Красное сухое</t>
        </is>
      </c>
      <c r="Q23" t="inlineStr">
        <is>
          <t>Каберне Совиньон — Винодельня Бегильдеева — Красное сухое</t>
        </is>
      </c>
      <c r="R23" t="inlineStr">
        <is>
          <t>АРАТТИ Совиньон блан белое полусухое — АРАТТИ — Белое полусухое</t>
        </is>
      </c>
    </row>
    <row r="24">
      <c r="A24" t="inlineStr">
        <is>
          <t>92.94_21-08-2026_19-37-08.webp</t>
        </is>
      </c>
      <c r="B24" t="inlineStr">
        <is>
          <t>не уверен</t>
        </is>
      </c>
      <c r="C24" t="inlineStr">
        <is>
          <t>denisov-winery-sovinon-blan-beloe-suhoe-115</t>
        </is>
      </c>
      <c r="D24" t="inlineStr">
        <is>
          <t>Совиньон Блан — Denisov Winery — Белое сухое</t>
        </is>
      </c>
      <c r="E24" t="inlineStr">
        <is>
          <t>есть такое, но этикетка черная, а не белая</t>
        </is>
      </c>
      <c r="F24" t="inlineStr">
        <is>
          <t>denisov-winery-sovinon-blan-beloe-suhoe-115</t>
        </is>
      </c>
      <c r="G24" t="inlineStr">
        <is>
          <t>dubinin-winery-sovinon-blan-beloe-suhoe-12</t>
        </is>
      </c>
      <c r="H24" t="inlineStr">
        <is>
          <t>sovinon-blan</t>
        </is>
      </c>
      <c r="I24" t="inlineStr">
        <is>
          <t>zhemchuzhnaya-9-sovinon-blan-aligote</t>
        </is>
      </c>
      <c r="J24" t="inlineStr">
        <is>
          <t>blagolyubov-sovinon-blan-beloe-suhoe-125</t>
        </is>
      </c>
      <c r="K24">
        <f>IF(C24="","",IFERROR(MATCH(C24,F24:J24,0),"нет"))</f>
        <v/>
      </c>
      <c r="L24">
        <f>IF(C24="","",IF(K24=1,1,0))</f>
        <v/>
      </c>
      <c r="M24">
        <f>IF(C24="","",IF(ISNUMBER(K24),1,0))</f>
        <v/>
      </c>
      <c r="N24" t="inlineStr">
        <is>
          <t>Совиньон Блан — Denisov Winery — Белое сухое</t>
        </is>
      </c>
      <c r="O24" t="inlineStr">
        <is>
          <t>Совиньон Блан — Dubinin Winery — Белое сухое</t>
        </is>
      </c>
      <c r="P24" t="inlineStr">
        <is>
          <t>Совиньон Блан — Литавщук. Litavshchuk vineyards &amp; winery — Белое полусладкое</t>
        </is>
      </c>
      <c r="Q24" t="inlineStr">
        <is>
          <t>Жемчужная 9 Совиньон блан, Алиготе — АРАТТИ — Белое сухое</t>
        </is>
      </c>
      <c r="R24" t="inlineStr">
        <is>
          <t>Совиньон Блан — Благолюбов — Белое сухое</t>
        </is>
      </c>
    </row>
    <row r="25">
      <c r="A25" t="inlineStr">
        <is>
          <t>92.96_19-08-2026_21-07-12.webp</t>
        </is>
      </c>
      <c r="B25" t="inlineStr">
        <is>
          <t>уверенно</t>
        </is>
      </c>
      <c r="C25" t="inlineStr">
        <is>
          <t>aratti-kaberne-sovinon-2020-krasnoe-suhoe</t>
        </is>
      </c>
      <c r="D25" t="inlineStr">
        <is>
          <t>АРАТТИ Каберне Совиньон 2020 красное сухое — АРАТТИ — Красное сухое</t>
        </is>
      </c>
      <c r="F25" t="inlineStr">
        <is>
          <t>aratti-kaberne-sovinon-2020-krasnoe-suhoe</t>
        </is>
      </c>
      <c r="G25" t="inlineStr">
        <is>
          <t>aratti-kaberne-sovinon-2021-krasnoe-suhoe</t>
        </is>
      </c>
      <c r="H25" t="inlineStr">
        <is>
          <t>artvin-kaberne-sovinon-grand-rezerv-krasnoe-suhoe-13</t>
        </is>
      </c>
      <c r="I25" t="inlineStr">
        <is>
          <t>vinodelnya-begildeeva-kaberne-sovinon-krasnoe-suhoe-14</t>
        </is>
      </c>
      <c r="J25" t="inlineStr">
        <is>
          <t>aratti-vremena-goda-saperavi-leto</t>
        </is>
      </c>
      <c r="K25">
        <f>IF(C25="","",IFERROR(MATCH(C25,F25:J25,0),"нет"))</f>
        <v/>
      </c>
      <c r="L25">
        <f>IF(C25="","",IF(K25=1,1,0))</f>
        <v/>
      </c>
      <c r="M25">
        <f>IF(C25="","",IF(ISNUMBER(K25),1,0))</f>
        <v/>
      </c>
      <c r="N25" t="inlineStr">
        <is>
          <t>АРАТТИ Каберне Совиньон 2020 красное сухое — АРАТТИ — Красное сухое</t>
        </is>
      </c>
      <c r="O25" t="inlineStr">
        <is>
          <t>АРАТТИ Каберне Совиньон 2021 красное сухое — АРАТТИ — Красное сухое</t>
        </is>
      </c>
      <c r="P25" t="inlineStr">
        <is>
          <t>Каберне Совиньон Гранд Резерв — Артвин — Красное сухое</t>
        </is>
      </c>
      <c r="Q25" t="inlineStr">
        <is>
          <t>Каберне Совиньон — Винодельня Бегильдеева — Красное сухое</t>
        </is>
      </c>
      <c r="R25" t="inlineStr">
        <is>
          <t>АРАТТИ Времена Года Саперави Лето — АРАТТИ — Красное сухое</t>
        </is>
      </c>
    </row>
    <row r="26">
      <c r="A26" t="inlineStr">
        <is>
          <t>92.99_02-09-2026_04-20-19.webp</t>
        </is>
      </c>
      <c r="B26" t="inlineStr">
        <is>
          <t>нет в каталоге</t>
        </is>
      </c>
      <c r="F26" t="inlineStr">
        <is>
          <t>vinodelnya-myshako-rose-de-noirs-pino-nuar-rozovoe-bryut-123</t>
        </is>
      </c>
      <c r="G26" t="inlineStr">
        <is>
          <t>rozovaya-pantera</t>
        </is>
      </c>
      <c r="H26" t="inlineStr">
        <is>
          <t>usadba-divnomorskoe-rose-vione-rozovoe-suhoe-125</t>
        </is>
      </c>
      <c r="I26" t="inlineStr">
        <is>
          <t>kuban-vino-vysokiy-bereg-grafit-roze-kaberne-sovinon-rozovoe-suhoe-12</t>
        </is>
      </c>
      <c r="J26" t="inlineStr">
        <is>
          <t>mont-blanc-blanc-de-blancs</t>
        </is>
      </c>
      <c r="K26">
        <f>IF(C26="","",IFERROR(MATCH(C26,F26:J26,0),"нет"))</f>
        <v/>
      </c>
      <c r="L26">
        <f>IF(C26="","",IF(K26=1,1,0))</f>
        <v/>
      </c>
      <c r="M26">
        <f>IF(C26="","",IF(ISNUMBER(K26),1,0))</f>
        <v/>
      </c>
      <c r="N26" t="inlineStr">
        <is>
          <t>Rose De Noirs — Мысхако — Розовое брют</t>
        </is>
      </c>
      <c r="O26" t="inlineStr">
        <is>
          <t>Розовая Пантера полусладкое розовое — АРАТТИ — Розовое полусладкое</t>
        </is>
      </c>
      <c r="P26" t="inlineStr">
        <is>
          <t>Rose — Усадьба Дивноморское — Розовое сухое</t>
        </is>
      </c>
      <c r="Q26" t="inlineStr">
        <is>
          <t>Высокий Берег Графит Розе — Кубань-Вино — Розовое сухое</t>
        </is>
      </c>
      <c r="R26" t="inlineStr">
        <is>
          <t>Mont Blanc, Blanc de Blancs — Шато АЛВИСА — Белое брют</t>
        </is>
      </c>
    </row>
    <row r="27">
      <c r="A27" t="inlineStr">
        <is>
          <t>93.31_05-09-2026_13-39-37.webp</t>
        </is>
      </c>
      <c r="B27" t="inlineStr">
        <is>
          <t>уверенно</t>
        </is>
      </c>
      <c r="C27" t="inlineStr">
        <is>
          <t>golubitskoe-estate-noble-selection-red-blend-kaberne-sovinon-krasnoe-suhoe-136</t>
        </is>
      </c>
      <c r="D27" t="inlineStr">
        <is>
          <t>Noble Selection Red Blend — Golubitskoe Estate — Красное сухое</t>
        </is>
      </c>
      <c r="F27" t="inlineStr">
        <is>
          <t>golubitskoe-estate-noble-selection-red-blend-kaberne-sovinon-krasnoe-suhoe-136</t>
        </is>
      </c>
      <c r="G27" t="inlineStr">
        <is>
          <t>golubitskoe-estate-kaberne-sovinon-noble-selection-krasnoe-suhoe-133</t>
        </is>
      </c>
      <c r="H27" t="inlineStr">
        <is>
          <t>golubitskoe-estate-kaberne-sovinon-rezerv-krasnoe-suhoe-125</t>
        </is>
      </c>
      <c r="I27" t="inlineStr">
        <is>
          <t>golubitskoe-estate-noble-selection-white-blend-shardone-beloe-suhoe-135</t>
        </is>
      </c>
      <c r="J27" t="inlineStr">
        <is>
          <t>pomeste-golubitskoe-kaberne-sovinon-rezerv-krasnoe-suhoe-143</t>
        </is>
      </c>
      <c r="K27">
        <f>IF(C27="","",IFERROR(MATCH(C27,F27:J27,0),"нет"))</f>
        <v/>
      </c>
      <c r="L27">
        <f>IF(C27="","",IF(K27=1,1,0))</f>
        <v/>
      </c>
      <c r="M27">
        <f>IF(C27="","",IF(ISNUMBER(K27),1,0))</f>
        <v/>
      </c>
      <c r="N27" t="inlineStr">
        <is>
          <t>Noble Selection Red Blend — Golubitskoe Estate — Красное сухое</t>
        </is>
      </c>
      <c r="O27" t="inlineStr">
        <is>
          <t>Каберне Совиньон Noble Selection — Golubitskoe Estate — Красное сухое</t>
        </is>
      </c>
      <c r="P27" t="inlineStr">
        <is>
          <t>Каберне Совиньон Резерв — Golubitskoe Estate — Красное сухое</t>
        </is>
      </c>
      <c r="Q27" t="inlineStr">
        <is>
          <t>Noble Selection White Blend — Golubitskoe Estate — Белое сухое</t>
        </is>
      </c>
      <c r="R27" t="inlineStr">
        <is>
          <t>Каберне Совиньон Резерв — Golubitskoe Estate — Красное сухое</t>
        </is>
      </c>
    </row>
    <row r="28">
      <c r="A28" t="inlineStr">
        <is>
          <t>93.43_05-09-2026_13-34-45.webp</t>
        </is>
      </c>
      <c r="B28" t="inlineStr">
        <is>
          <t>уверенно</t>
        </is>
      </c>
      <c r="C28" t="inlineStr">
        <is>
          <t>denisov_pet_nat_rubin</t>
        </is>
      </c>
      <c r="D28" t="inlineStr">
        <is>
          <t>Пет-Нат Рубин — Denisov Winery — Розовое экстра брют</t>
        </is>
      </c>
      <c r="F28" t="inlineStr">
        <is>
          <t>denisov-winery-petnat-risling-beloe-ekstra-bryut-10</t>
        </is>
      </c>
      <c r="G28" t="inlineStr">
        <is>
          <t>denisov-winery-petnat-rkatsiteli-beloe-ekstra-bryut-107</t>
        </is>
      </c>
      <c r="H28" t="inlineStr">
        <is>
          <t>denisov-winery-petnat-tsitron-risling-tsitronnyy-magaracha-beloe-ekstra-bryut-102</t>
        </is>
      </c>
      <c r="I28" t="inlineStr">
        <is>
          <t>denisov_pet_nat_rubin</t>
        </is>
      </c>
      <c r="J28" t="inlineStr">
        <is>
          <t>fioletovyj-rannij-petnat</t>
        </is>
      </c>
      <c r="K28">
        <f>IF(C28="","",IFERROR(MATCH(C28,F28:J28,0),"нет"))</f>
        <v/>
      </c>
      <c r="L28">
        <f>IF(C28="","",IF(K28=1,1,0))</f>
        <v/>
      </c>
      <c r="M28">
        <f>IF(C28="","",IF(ISNUMBER(K28),1,0))</f>
        <v/>
      </c>
      <c r="N28" t="inlineStr">
        <is>
          <t>Петнат Рислинг — Denisov Winery — Белое экстра брют</t>
        </is>
      </c>
      <c r="O28" t="inlineStr">
        <is>
          <t>Петнат Ркацители — Denisov Winery — Белое экстра брют</t>
        </is>
      </c>
      <c r="P28" t="inlineStr">
        <is>
          <t>Петнат Цитрон - Рислинг — Denisov Winery — Белое экстра брют</t>
        </is>
      </c>
      <c r="Q28" t="inlineStr">
        <is>
          <t>Пет-Нат Рубин — Denisov Winery — Розовое экстра брют</t>
        </is>
      </c>
      <c r="R28" t="inlineStr">
        <is>
          <t>Фиолетовый Ранний петнат — Гусевъ — Белое экстра брют</t>
        </is>
      </c>
    </row>
    <row r="29">
      <c r="A29" t="inlineStr">
        <is>
          <t>93.68_19-08-2026_20-44-28.webp</t>
        </is>
      </c>
      <c r="B29" t="inlineStr">
        <is>
          <t>уверенно</t>
        </is>
      </c>
      <c r="C29" t="inlineStr">
        <is>
          <t>zakat-denisov-vajneri</t>
        </is>
      </c>
      <c r="D29" t="inlineStr">
        <is>
          <t>Закат. Денисов Вайнери — Denisov Winery — Розовое сухое</t>
        </is>
      </c>
      <c r="F29" t="inlineStr">
        <is>
          <t>zakat-denisov-vajneri</t>
        </is>
      </c>
      <c r="G29" t="inlineStr">
        <is>
          <t>zhemchuzhnaya-9-pino-nuar-muskat-rozovyj</t>
        </is>
      </c>
      <c r="H29" t="inlineStr">
        <is>
          <t>rozovaya-pantera</t>
        </is>
      </c>
      <c r="I29" t="inlineStr">
        <is>
          <t>vinodelnya-78-muskat-polusladkoe-muskat-ottonel-beloe-115</t>
        </is>
      </c>
      <c r="J29" t="inlineStr">
        <is>
          <t>zhemchuzhnaya-9-pino-nuar-muskat-rozovyj-1</t>
        </is>
      </c>
      <c r="K29">
        <f>IF(C29="","",IFERROR(MATCH(C29,F29:J29,0),"нет"))</f>
        <v/>
      </c>
      <c r="L29">
        <f>IF(C29="","",IF(K29=1,1,0))</f>
        <v/>
      </c>
      <c r="M29">
        <f>IF(C29="","",IF(ISNUMBER(K29),1,0))</f>
        <v/>
      </c>
      <c r="N29" t="inlineStr">
        <is>
          <t>Закат. Денисов Вайнери — Denisov Winery — Розовое сухое</t>
        </is>
      </c>
      <c r="O29" t="inlineStr">
        <is>
          <t>Жемчужная 9 Пино Нуар, Мускат Розовый — АРАТТИ — Розовое сухое</t>
        </is>
      </c>
      <c r="P29" t="inlineStr">
        <is>
          <t>Розовая Пантера полусладкое розовое — АРАТТИ — Розовое полусладкое</t>
        </is>
      </c>
      <c r="Q29" t="inlineStr">
        <is>
          <t>Мускат полусладкое — Винодельня 78 — Белое полусладкое</t>
        </is>
      </c>
      <c r="R29" t="inlineStr">
        <is>
          <t>Жемчужная 9 Пино Нуар, Мускат розовый — АРАТТИ — Розовое полусухое</t>
        </is>
      </c>
    </row>
    <row r="30">
      <c r="A30" t="inlineStr">
        <is>
          <t>93.84_02-09-2026_17-13-04.webp</t>
        </is>
      </c>
      <c r="B30" t="inlineStr">
        <is>
          <t>уверенно</t>
        </is>
      </c>
      <c r="C30" t="inlineStr">
        <is>
          <t>zakat-denisov-vajneri</t>
        </is>
      </c>
      <c r="D30" t="inlineStr">
        <is>
          <t>Закат. Денисов Вайнери — Denisov Winery — Розовое сухое</t>
        </is>
      </c>
      <c r="F30" t="inlineStr">
        <is>
          <t>zakat-denisov-vajneri</t>
        </is>
      </c>
      <c r="G30" t="inlineStr">
        <is>
          <t>vinodelnya-78-muskat-polusladkoe-muskat-ottonel-beloe-115</t>
        </is>
      </c>
      <c r="H30" t="inlineStr">
        <is>
          <t>rozovaya-pantera</t>
        </is>
      </c>
      <c r="I30" t="inlineStr">
        <is>
          <t>zhemchuzhnaya-9-pino-nuar-muskat-rozovyj</t>
        </is>
      </c>
      <c r="J30" t="inlineStr">
        <is>
          <t>vinodelnya-vedernikov-tsimlyanskiy-chernyy-rozovyy-rozovoe-suhoe-125</t>
        </is>
      </c>
      <c r="K30">
        <f>IF(C30="","",IFERROR(MATCH(C30,F30:J30,0),"нет"))</f>
        <v/>
      </c>
      <c r="L30">
        <f>IF(C30="","",IF(K30=1,1,0))</f>
        <v/>
      </c>
      <c r="M30">
        <f>IF(C30="","",IF(ISNUMBER(K30),1,0))</f>
        <v/>
      </c>
      <c r="N30" t="inlineStr">
        <is>
          <t>Закат. Денисов Вайнери — Denisov Winery — Розовое сухое</t>
        </is>
      </c>
      <c r="O30" t="inlineStr">
        <is>
          <t>Мускат полусладкое — Винодельня 78 — Белое полусладкое</t>
        </is>
      </c>
      <c r="P30" t="inlineStr">
        <is>
          <t>Розовая Пантера полусладкое розовое — АРАТТИ — Розовое полусладкое</t>
        </is>
      </c>
      <c r="Q30" t="inlineStr">
        <is>
          <t>Жемчужная 9 Пино Нуар, Мускат Розовый — АРАТТИ — Розовое сухое</t>
        </is>
      </c>
      <c r="R30" t="inlineStr">
        <is>
          <t>Цимлянский Черный розовый — Ведерниковъ — Розовое сухое</t>
        </is>
      </c>
    </row>
    <row r="31">
      <c r="A31" t="inlineStr">
        <is>
          <t>93.95_05-09-2026_15-29-36.webp</t>
        </is>
      </c>
      <c r="B31" t="inlineStr">
        <is>
          <t>нет в каталоге</t>
        </is>
      </c>
      <c r="F31" t="inlineStr">
        <is>
          <t>novyy-svet-dom-shampanskih-vin-igristoe-vino-vyderzhannoe-polusladkoe-rozovoe-novyy-svet-pino-fran-135</t>
        </is>
      </c>
      <c r="G31" t="inlineStr">
        <is>
          <t>abrau-dyurso-imperial-kyuve-pino-nuar-rozovoe-bryut-125</t>
        </is>
      </c>
      <c r="H31" t="inlineStr">
        <is>
          <t>valeriy-zaharin-aligote-avtorskoe-valeriy-zaharin-beloe-bryut-115</t>
        </is>
      </c>
      <c r="I31" t="inlineStr">
        <is>
          <t>valeriy-zaharin-aligote-burlyuk-beloe-bryut-115</t>
        </is>
      </c>
      <c r="J31" t="inlineStr">
        <is>
          <t>rozovoe-bryut-1</t>
        </is>
      </c>
      <c r="K31">
        <f>IF(C31="","",IFERROR(MATCH(C31,F31:J31,0),"нет"))</f>
        <v/>
      </c>
      <c r="L31">
        <f>IF(C31="","",IF(K31=1,1,0))</f>
        <v/>
      </c>
      <c r="M31">
        <f>IF(C31="","",IF(ISNUMBER(K31),1,0))</f>
        <v/>
      </c>
      <c r="N31" t="inlineStr">
        <is>
          <t>Игристое вино выдержанное полусладкое розовое «Новый Свет. Пино Фран» — Новый Свет. Дом шампанских вин — Розовое полусладкое</t>
        </is>
      </c>
      <c r="O31" t="inlineStr">
        <is>
          <t>Империал Кюве — Абрау-Дюрсо — Розовое брют</t>
        </is>
      </c>
      <c r="P31" t="inlineStr">
        <is>
          <t>Алиготе. Авторское. Валерий Захарьин — Валерий Захарьин — Белое брют</t>
        </is>
      </c>
      <c r="Q31" t="inlineStr">
        <is>
          <t>Алиготе. Бурлюк — Валерий Захарьин — Белое брют</t>
        </is>
      </c>
      <c r="R31" t="inlineStr">
        <is>
          <t>Розовое брют — Золотая Балка — Розовое брют</t>
        </is>
      </c>
    </row>
    <row r="32">
      <c r="A32" t="inlineStr">
        <is>
          <t>93.97_28-08-2026_16-02-48.webp</t>
        </is>
      </c>
      <c r="B32" t="inlineStr">
        <is>
          <t>нет в каталоге</t>
        </is>
      </c>
      <c r="F32" t="inlineStr">
        <is>
          <t>golubitskoe-estate-chardonnay</t>
        </is>
      </c>
      <c r="G32" t="inlineStr">
        <is>
          <t>golubitskoe-estate-shardone-rezerv-beloe-suhoe-135</t>
        </is>
      </c>
      <c r="H32" t="inlineStr">
        <is>
          <t>golubitskoe-estate-shardone-noble-selection-barrel-touch-beloe-suhoe-135</t>
        </is>
      </c>
      <c r="I32" t="inlineStr">
        <is>
          <t>golubitskoe-estate-sovinon-blan-beloe-suhoe-11</t>
        </is>
      </c>
      <c r="J32" t="inlineStr">
        <is>
          <t>pomeste-golubitskoe-shardone-rezerv-beloe-suhoe-132</t>
        </is>
      </c>
      <c r="K32">
        <f>IF(C32="","",IFERROR(MATCH(C32,F32:J32,0),"нет"))</f>
        <v/>
      </c>
      <c r="L32">
        <f>IF(C32="","",IF(K32=1,1,0))</f>
        <v/>
      </c>
      <c r="M32">
        <f>IF(C32="","",IF(ISNUMBER(K32),1,0))</f>
        <v/>
      </c>
      <c r="N32" t="inlineStr">
        <is>
          <t>Golubitskoe Estate Chardonnay — Поместье Голубицкое — Белое сухое</t>
        </is>
      </c>
      <c r="O32" t="inlineStr">
        <is>
          <t>Шардоне Резерв — Golubitskoe Estate — Белое сухое</t>
        </is>
      </c>
      <c r="P32" t="inlineStr">
        <is>
          <t>Шардоне Noble Selection Barrel Touch — Golubitskoe Estate — Белое сухое</t>
        </is>
      </c>
      <c r="Q32" t="inlineStr">
        <is>
          <t>Совиньон Блан — Golubitskoe Estate — Белое сухое</t>
        </is>
      </c>
      <c r="R32" t="inlineStr">
        <is>
          <t>Шардоне Резерв — Golubitskoe Estate — Белое сухое</t>
        </is>
      </c>
    </row>
    <row r="33">
      <c r="A33" t="inlineStr">
        <is>
          <t>94.02_24-08-2026_17-46-57.webp</t>
        </is>
      </c>
      <c r="B33" t="inlineStr">
        <is>
          <t>уверенно</t>
        </is>
      </c>
      <c r="C33" t="inlineStr">
        <is>
          <t>rubin-golodrigi</t>
        </is>
      </c>
      <c r="D33" t="inlineStr">
        <is>
          <t>Рубин Голодриги  — Табия — Красное сухое</t>
        </is>
      </c>
      <c r="F33" t="inlineStr">
        <is>
          <t>rubin-golodrigi</t>
        </is>
      </c>
      <c r="G33" t="inlineStr">
        <is>
          <t>kaberne-sovinon-2</t>
        </is>
      </c>
      <c r="H33" t="inlineStr">
        <is>
          <t>bukovinka</t>
        </is>
      </c>
      <c r="I33" t="inlineStr">
        <is>
          <t>oleg</t>
        </is>
      </c>
      <c r="J33" t="inlineStr">
        <is>
          <t>roze-2</t>
        </is>
      </c>
      <c r="K33">
        <f>IF(C33="","",IFERROR(MATCH(C33,F33:J33,0),"нет"))</f>
        <v/>
      </c>
      <c r="L33">
        <f>IF(C33="","",IF(K33=1,1,0))</f>
        <v/>
      </c>
      <c r="M33">
        <f>IF(C33="","",IF(ISNUMBER(K33),1,0))</f>
        <v/>
      </c>
      <c r="N33" t="inlineStr">
        <is>
          <t>Рубин Голодриги  — Табия — Красное сухое</t>
        </is>
      </c>
      <c r="O33" t="inlineStr">
        <is>
          <t>Каберне Совиньон — Табия — Красное сухое</t>
        </is>
      </c>
      <c r="P33" t="inlineStr">
        <is>
          <t>Буковинка — Табия — Белое полусухое</t>
        </is>
      </c>
      <c r="Q33" t="inlineStr">
        <is>
          <t>Олег — Табия — Белое сухое</t>
        </is>
      </c>
      <c r="R33" t="inlineStr">
        <is>
          <t>Розе — Табия — Розовое сухое</t>
        </is>
      </c>
    </row>
    <row r="34">
      <c r="A34" t="inlineStr">
        <is>
          <t>94.43_05-09-2026_15-29-25.webp</t>
        </is>
      </c>
      <c r="B34" t="inlineStr">
        <is>
          <t>нет в каталоге</t>
        </is>
      </c>
      <c r="F34" t="inlineStr">
        <is>
          <t>novyy-svet-dom-shampanskih-vin-igristoe-vino-vyderzhannoe-polusladkoe-rozovoe-novyy-svet-pino-fran-135</t>
        </is>
      </c>
      <c r="G34" t="inlineStr">
        <is>
          <t>rozovoe-bryut-1</t>
        </is>
      </c>
      <c r="H34" t="inlineStr">
        <is>
          <t>vinodelnya-78-muskat-polusladkoe-muskat-ottonel-beloe-115</t>
        </is>
      </c>
      <c r="I34" t="inlineStr">
        <is>
          <t>balaklava-bryut-rezerv</t>
        </is>
      </c>
      <c r="J34" t="inlineStr">
        <is>
          <t>valeriy-zaharin-aligote-avtorskoe-valeriy-zaharin-beloe-bryut-115</t>
        </is>
      </c>
      <c r="K34">
        <f>IF(C34="","",IFERROR(MATCH(C34,F34:J34,0),"нет"))</f>
        <v/>
      </c>
      <c r="L34">
        <f>IF(C34="","",IF(K34=1,1,0))</f>
        <v/>
      </c>
      <c r="M34">
        <f>IF(C34="","",IF(ISNUMBER(K34),1,0))</f>
        <v/>
      </c>
      <c r="N34" t="inlineStr">
        <is>
          <t>Игристое вино выдержанное полусладкое розовое «Новый Свет. Пино Фран» — Новый Свет. Дом шампанских вин — Розовое полусладкое</t>
        </is>
      </c>
      <c r="O34" t="inlineStr">
        <is>
          <t>Розовое брют — Золотая Балка — Розовое брют</t>
        </is>
      </c>
      <c r="P34" t="inlineStr">
        <is>
          <t>Мускат полусладкое — Винодельня 78 — Белое полусладкое</t>
        </is>
      </c>
      <c r="Q34" t="inlineStr">
        <is>
          <t>Балаклава Брют Резерв — Золотая Балка — Белое брют</t>
        </is>
      </c>
      <c r="R34" t="inlineStr">
        <is>
          <t>Алиготе. Авторское. Валерий Захарьин — Валерий Захарьин — Белое брют</t>
        </is>
      </c>
    </row>
    <row r="35">
      <c r="A35" t="inlineStr">
        <is>
          <t>94.55_02-09-2026_16-53-08.webp</t>
        </is>
      </c>
      <c r="B35" t="inlineStr">
        <is>
          <t>уверенно</t>
        </is>
      </c>
      <c r="C35" t="inlineStr">
        <is>
          <t>denisov_pazori_risling</t>
        </is>
      </c>
      <c r="D35" t="inlineStr">
        <is>
          <t>Пазори Рислинг — Denisov Winery — Белое брют</t>
        </is>
      </c>
      <c r="F35" t="inlineStr">
        <is>
          <t>denisov-winery-pino-nuar-shardone-ekstra-bryut-beloe-125</t>
        </is>
      </c>
      <c r="G35" t="inlineStr">
        <is>
          <t>denisov_pazori_risling</t>
        </is>
      </c>
      <c r="H35" t="inlineStr">
        <is>
          <t>vinodelnya-zhakov-saperavi-vyderzhannoe-krasnoe-suhoe-115</t>
        </is>
      </c>
      <c r="I35" t="inlineStr">
        <is>
          <t>vinodelnya-uzunov-nrav-krasnostop-zolotovskiy-krasnoe-suhoe-132</t>
        </is>
      </c>
      <c r="J35" t="inlineStr">
        <is>
          <t>usadba-aleksandrovskaya-bubnovyy-valet-kaberne-sovinon-krasnoe-polusladkoe-13</t>
        </is>
      </c>
      <c r="K35">
        <f>IF(C35="","",IFERROR(MATCH(C35,F35:J35,0),"нет"))</f>
        <v/>
      </c>
      <c r="L35">
        <f>IF(C35="","",IF(K35=1,1,0))</f>
        <v/>
      </c>
      <c r="M35">
        <f>IF(C35="","",IF(ISNUMBER(K35),1,0))</f>
        <v/>
      </c>
      <c r="N35" t="inlineStr">
        <is>
          <t>Пино Нуар - Шардоне экстра брют — Denisov Winery — Белое экстра брют</t>
        </is>
      </c>
      <c r="O35" t="inlineStr">
        <is>
          <t>Пазори Рислинг — Denisov Winery — Белое брют</t>
        </is>
      </c>
      <c r="P35" t="inlineStr">
        <is>
          <t>Саперави выдержанное — Винодельня Жаков — Красное сухое</t>
        </is>
      </c>
      <c r="Q35" t="inlineStr">
        <is>
          <t>Нрав — Винодельня Узунов — Красное сухое</t>
        </is>
      </c>
      <c r="R35" t="inlineStr">
        <is>
          <t>Бубновый Валет — Усадьба Александровская — Красное полусладкое</t>
        </is>
      </c>
    </row>
    <row r="36">
      <c r="A36" t="inlineStr">
        <is>
          <t>94.72_21-08-2026_15-41-48.webp</t>
        </is>
      </c>
      <c r="B36" t="inlineStr">
        <is>
          <t>не уверен</t>
        </is>
      </c>
      <c r="C36" t="inlineStr">
        <is>
          <t>derbent-vino-desono-kaberne-sovinon-krasnoe-suhoe-125</t>
        </is>
      </c>
      <c r="D36" t="inlineStr">
        <is>
          <t>Дэсоно Каберне Совиньон — Дербент Вино — Красное сухое</t>
        </is>
      </c>
      <c r="E36" t="inlineStr">
        <is>
          <t>есть такое, но надпись внизу несоответствует, она больше. но фактически одно и то же</t>
        </is>
      </c>
      <c r="F36" t="inlineStr">
        <is>
          <t>derbent-vino-desono-kaberne-sovinon-krasnoe-suhoe-125</t>
        </is>
      </c>
      <c r="G36" t="inlineStr">
        <is>
          <t>derbent-vino-desono-kaberne-fran-krasnoe-suhoe-125</t>
        </is>
      </c>
      <c r="H36" t="inlineStr">
        <is>
          <t>derbent-vino-desono-merlo-krasnoe-suhoe-125</t>
        </is>
      </c>
      <c r="I36" t="inlineStr">
        <is>
          <t>derbent-vino-desono-risling-beloe-suhoe-125</t>
        </is>
      </c>
      <c r="J36" t="inlineStr">
        <is>
          <t>derbent-vino-desono-shardone-beloe-suhoe-125</t>
        </is>
      </c>
      <c r="K36">
        <f>IF(C36="","",IFERROR(MATCH(C36,F36:J36,0),"нет"))</f>
        <v/>
      </c>
      <c r="L36">
        <f>IF(C36="","",IF(K36=1,1,0))</f>
        <v/>
      </c>
      <c r="M36">
        <f>IF(C36="","",IF(ISNUMBER(K36),1,0))</f>
        <v/>
      </c>
      <c r="N36" t="inlineStr">
        <is>
          <t>Дэсоно Каберне Совиньон — Дербент Вино — Красное сухое</t>
        </is>
      </c>
      <c r="O36" t="inlineStr">
        <is>
          <t>Дэсоно Каберне Фран — Дербент Вино — Красное сухое</t>
        </is>
      </c>
      <c r="P36" t="inlineStr">
        <is>
          <t>Дэсоно Мерло — Дербент Вино — Красное сухое</t>
        </is>
      </c>
      <c r="Q36" t="inlineStr">
        <is>
          <t>Дэсоно Рислинг — Дербент Вино — Белое сухое</t>
        </is>
      </c>
      <c r="R36" t="inlineStr">
        <is>
          <t>Дэсоно Шардоне — Дербент Вино — Белое сухое</t>
        </is>
      </c>
    </row>
    <row r="37">
      <c r="A37" t="inlineStr">
        <is>
          <t>94.7_25-08-2026_15-52-07.webp</t>
        </is>
      </c>
      <c r="B37" t="inlineStr">
        <is>
          <t>уверенно</t>
        </is>
      </c>
      <c r="C37" t="inlineStr">
        <is>
          <t>czitronnyj-magaracha-sovinon-blan</t>
        </is>
      </c>
      <c r="D37" t="inlineStr">
        <is>
          <t>Жемчужная 9 Цитрон, Совиньон блан — АРАТТИ — Белое полусухое</t>
        </is>
      </c>
      <c r="F37" t="inlineStr">
        <is>
          <t>czitronnyj-magaracha-sovinon-blan</t>
        </is>
      </c>
      <c r="G37" t="inlineStr">
        <is>
          <t>zhemchuzhnaya-9-czitron-shardone-1</t>
        </is>
      </c>
      <c r="H37" t="inlineStr">
        <is>
          <t>zhemchuzhnaya-9-aligote-czitron</t>
        </is>
      </c>
      <c r="I37" t="inlineStr">
        <is>
          <t>zhemchuzhnaya-9-czitron-shardone</t>
        </is>
      </c>
      <c r="J37" t="inlineStr">
        <is>
          <t>zhemchuzhnaya-9-sovinon-blan-aligote</t>
        </is>
      </c>
      <c r="K37">
        <f>IF(C37="","",IFERROR(MATCH(C37,F37:J37,0),"нет"))</f>
        <v/>
      </c>
      <c r="L37">
        <f>IF(C37="","",IF(K37=1,1,0))</f>
        <v/>
      </c>
      <c r="M37">
        <f>IF(C37="","",IF(ISNUMBER(K37),1,0))</f>
        <v/>
      </c>
      <c r="N37" t="inlineStr">
        <is>
          <t>Жемчужная 9 Цитрон, Совиньон блан — АРАТТИ — Белое полусухое</t>
        </is>
      </c>
      <c r="O37" t="inlineStr">
        <is>
          <t>Жемчужная 9 Цитрон, Шардоне — АРАТТИ — Белое полусладкое</t>
        </is>
      </c>
      <c r="P37" t="inlineStr">
        <is>
          <t>Жемчужная 9 Алиготе, Цитрон — АРАТТИ — Белое сухое</t>
        </is>
      </c>
      <c r="Q37" t="inlineStr">
        <is>
          <t>Жемчужная 9 Цитрон, Шардоне — АРАТТИ — Белое сухое</t>
        </is>
      </c>
      <c r="R37" t="inlineStr">
        <is>
          <t>Жемчужная 9 Совиньон блан, Алиготе — АРАТТИ — Белое сухое</t>
        </is>
      </c>
    </row>
    <row r="38">
      <c r="A38" t="inlineStr">
        <is>
          <t>94.83_27-08-2026_14-29-28.webp</t>
        </is>
      </c>
      <c r="B38" t="inlineStr">
        <is>
          <t>нет в каталоге</t>
        </is>
      </c>
      <c r="F38" t="inlineStr">
        <is>
          <t>shato-pino-gravitatsiya-kaberne-sovinon-merlo-krasnoe-suhoe-135</t>
        </is>
      </c>
      <c r="G38" t="inlineStr">
        <is>
          <t>shato-pino-sovinon-blan-semilon-beloe-suhoe-115</t>
        </is>
      </c>
      <c r="H38" t="inlineStr">
        <is>
          <t>shato-pino-marselan-merlo-krasnoe-suhoe-13</t>
        </is>
      </c>
      <c r="I38" t="inlineStr">
        <is>
          <t>shato-pino-shardone-beloe-suhoe-125</t>
        </is>
      </c>
      <c r="J38" t="inlineStr">
        <is>
          <t>shato-pino-aligote-rkatsiteli-beloe-suhoe-12</t>
        </is>
      </c>
      <c r="K38">
        <f>IF(C38="","",IFERROR(MATCH(C38,F38:J38,0),"нет"))</f>
        <v/>
      </c>
      <c r="L38">
        <f>IF(C38="","",IF(K38=1,1,0))</f>
        <v/>
      </c>
      <c r="M38">
        <f>IF(C38="","",IF(ISNUMBER(K38),1,0))</f>
        <v/>
      </c>
      <c r="N38" t="inlineStr">
        <is>
          <t>Гравитация. Каберне Совиньон - Мерло — Шато Пино — Красное сухое</t>
        </is>
      </c>
      <c r="O38" t="inlineStr">
        <is>
          <t>Совиньон Блан - Семильон — Шато Пино — Белое сухое</t>
        </is>
      </c>
      <c r="P38" t="inlineStr">
        <is>
          <t>Марселан - Мерло — Шато Пино — Красное сухое</t>
        </is>
      </c>
      <c r="Q38" t="inlineStr">
        <is>
          <t>Шардоне — Шато Пино — Белое сухое</t>
        </is>
      </c>
      <c r="R38" t="inlineStr">
        <is>
          <t>Алиготе - Ркацители белое сухое — Шато Пино — Белое сухое</t>
        </is>
      </c>
    </row>
    <row r="39">
      <c r="A39" t="inlineStr">
        <is>
          <t>94.8_01-09-2026_10-10-02.webp</t>
        </is>
      </c>
      <c r="B39" t="inlineStr">
        <is>
          <t>нет в каталоге</t>
        </is>
      </c>
      <c r="F39" t="inlineStr">
        <is>
          <t>massandra-portveyn-krasnyy-alushta-krasnye-sorta-vinograda-krasnoe-sladkoe-17</t>
        </is>
      </c>
      <c r="G39" t="inlineStr">
        <is>
          <t>kaberne-sovinon</t>
        </is>
      </c>
      <c r="H39" t="inlineStr">
        <is>
          <t>vinodelnya-pokrovskaya-pokrovskoe-sladkoe-krasnoe-kaberne-sovinon-13</t>
        </is>
      </c>
      <c r="I39" t="inlineStr">
        <is>
          <t>massandra-muskat-belyy-yuzhnoberezhnyy-beloe-sladkoe-16</t>
        </is>
      </c>
      <c r="J39" t="inlineStr">
        <is>
          <t>massandra-portveyn-krasnyy-livadiya-kaberne-sovinon-krasnoe-sladkoe-185</t>
        </is>
      </c>
      <c r="K39">
        <f>IF(C39="","",IFERROR(MATCH(C39,F39:J39,0),"нет"))</f>
        <v/>
      </c>
      <c r="L39">
        <f>IF(C39="","",IF(K39=1,1,0))</f>
        <v/>
      </c>
      <c r="M39">
        <f>IF(C39="","",IF(ISNUMBER(K39),1,0))</f>
        <v/>
      </c>
      <c r="N39" t="inlineStr">
        <is>
          <t>Портвейн красный Алушта — Массандра — Красное сладкое</t>
        </is>
      </c>
      <c r="O39" t="inlineStr">
        <is>
          <t>Каберне Совиньон — Массандра — Красное сладкое</t>
        </is>
      </c>
      <c r="P39" t="inlineStr">
        <is>
          <t>Покровское сладкое красное — Винодельня Покровская — Красное сладкое</t>
        </is>
      </c>
      <c r="Q39" t="inlineStr">
        <is>
          <t>Мускат Белый Южнобережный — Массандра — Белое сладкое</t>
        </is>
      </c>
      <c r="R39" t="inlineStr">
        <is>
          <t>Портвейн красный Ливадия — Массандра — Красное сладкое</t>
        </is>
      </c>
    </row>
    <row r="40">
      <c r="A40" t="inlineStr">
        <is>
          <t>94.94_05-09-2026_15-04-50.webp</t>
        </is>
      </c>
      <c r="B40" t="inlineStr">
        <is>
          <t>не уверен</t>
        </is>
      </c>
      <c r="C40" t="inlineStr">
        <is>
          <t>denisov-winery-sovinon-blan-beloe-suhoe-115</t>
        </is>
      </c>
      <c r="D40" t="inlineStr">
        <is>
          <t>Совиньон Блан — Denisov Winery — Белое сухое</t>
        </is>
      </c>
      <c r="E40" t="inlineStr">
        <is>
          <t>этикетка немного другая. в slug черная, а на фото белая</t>
        </is>
      </c>
      <c r="F40" t="inlineStr">
        <is>
          <t>denisov-winery-sovinon-blan-beloe-suhoe-115</t>
        </is>
      </c>
      <c r="G40" t="inlineStr">
        <is>
          <t>dubinin-winery-sovinon-blan-beloe-suhoe-12</t>
        </is>
      </c>
      <c r="H40" t="inlineStr">
        <is>
          <t>imenie-sikory-sovinon-blan-sikory-beloe-suhoe-13</t>
        </is>
      </c>
      <c r="I40" t="inlineStr">
        <is>
          <t>zhemchuzhnaya-9-sovinon-blan-aligote</t>
        </is>
      </c>
      <c r="J40" t="inlineStr">
        <is>
          <t>levokumskoe-sovinon-blan-beloe-suhoe-10</t>
        </is>
      </c>
      <c r="K40">
        <f>IF(C40="","",IFERROR(MATCH(C40,F40:J40,0),"нет"))</f>
        <v/>
      </c>
      <c r="L40">
        <f>IF(C40="","",IF(K40=1,1,0))</f>
        <v/>
      </c>
      <c r="M40">
        <f>IF(C40="","",IF(ISNUMBER(K40),1,0))</f>
        <v/>
      </c>
      <c r="N40" t="inlineStr">
        <is>
          <t>Совиньон Блан — Denisov Winery — Белое сухое</t>
        </is>
      </c>
      <c r="O40" t="inlineStr">
        <is>
          <t>Совиньон Блан — Dubinin Winery — Белое сухое</t>
        </is>
      </c>
      <c r="P40" t="inlineStr">
        <is>
          <t>Совиньон Блан Сикоры — Имение Сикоры — Белое сухое</t>
        </is>
      </c>
      <c r="Q40" t="inlineStr">
        <is>
          <t>Жемчужная 9 Совиньон блан, Алиготе — АРАТТИ — Белое сухое</t>
        </is>
      </c>
      <c r="R40" t="inlineStr">
        <is>
          <t>Совиньон Блан — Левокумское — Белое сухое</t>
        </is>
      </c>
    </row>
    <row r="41">
      <c r="A41" t="inlineStr">
        <is>
          <t>94.97_02-09-2026_19-01-48.webp</t>
        </is>
      </c>
      <c r="B41" t="inlineStr">
        <is>
          <t>уверенно</t>
        </is>
      </c>
      <c r="C41" t="inlineStr">
        <is>
          <t>zhemchuzhnaya-9-pino-nuar-muskat-rozovyj-2</t>
        </is>
      </c>
      <c r="D41" t="inlineStr">
        <is>
          <t>Жемчужная 9 Пино нуар, Мускат Розовый — АРАТТИ — Розовое полусладкое</t>
        </is>
      </c>
      <c r="F41" t="inlineStr">
        <is>
          <t>zhemchuzhnaya-9-pino-nuar-muskat-rozovyj-1</t>
        </is>
      </c>
      <c r="G41" t="inlineStr">
        <is>
          <t>zhemchuzhnaya-9-pino-nuar-muskat-rozovyj</t>
        </is>
      </c>
      <c r="H41" t="inlineStr">
        <is>
          <t>zhemchuzhnaya-9-pino-nuar-muskat-rozovyj-2</t>
        </is>
      </c>
      <c r="I41" t="inlineStr">
        <is>
          <t>zhemchuzhnaya-9-muskat-rozovyj-pino-gri</t>
        </is>
      </c>
      <c r="J41" t="inlineStr">
        <is>
          <t>zhemchuzhnaya-9-muskat-rozovyj-kaberne-sovinon</t>
        </is>
      </c>
      <c r="K41">
        <f>IF(C41="","",IFERROR(MATCH(C41,F41:J41,0),"нет"))</f>
        <v/>
      </c>
      <c r="L41">
        <f>IF(C41="","",IF(K41=1,1,0))</f>
        <v/>
      </c>
      <c r="M41">
        <f>IF(C41="","",IF(ISNUMBER(K41),1,0))</f>
        <v/>
      </c>
      <c r="N41" t="inlineStr">
        <is>
          <t>Жемчужная 9 Пино Нуар, Мускат розовый — АРАТТИ — Розовое полусухое</t>
        </is>
      </c>
      <c r="O41" t="inlineStr">
        <is>
          <t>Жемчужная 9 Пино Нуар, Мускат Розовый — АРАТТИ — Розовое сухое</t>
        </is>
      </c>
      <c r="P41" t="inlineStr">
        <is>
          <t>Жемчужная 9 Пино нуар, Мускат Розовый — АРАТТИ — Розовое полусладкое</t>
        </is>
      </c>
      <c r="Q41" t="inlineStr">
        <is>
          <t>Жемчужная 9 Мускат Розовый, Пино гри — АРАТТИ — Розовое сухое</t>
        </is>
      </c>
      <c r="R41" t="inlineStr">
        <is>
          <t>Жемчужная 9 Мускат Розовый, Каберне Совиньон — АРАТТИ — Розовое полусладкое</t>
        </is>
      </c>
    </row>
    <row r="42">
      <c r="A42" t="inlineStr">
        <is>
          <t>95.03_04-09-2026_11-39-35.webp</t>
        </is>
      </c>
      <c r="B42" t="inlineStr">
        <is>
          <t>уверенно</t>
        </is>
      </c>
      <c r="C42" t="inlineStr">
        <is>
          <t>fanagoriya-zelyonoe-vino-risling-tsitronnyy-magaracha-beloe-polusuhoe-11</t>
        </is>
      </c>
      <c r="D42" t="inlineStr">
        <is>
          <t>Зелёное вино. Рислинг - Цитронный Магарача — Фанагория — Белое полусухое</t>
        </is>
      </c>
      <c r="F42" t="inlineStr">
        <is>
          <t>fanagoriya-zelyonoe-vino-risling-tsitronnyy-magaracha-beloe-polusuhoe-11</t>
        </is>
      </c>
      <c r="G42" t="inlineStr">
        <is>
          <t>fanagoriya-zelyonoe-vino-risling-tsitronnyy-magaracha-merlo-rozovoe-polusuhoe-11</t>
        </is>
      </c>
      <c r="H42" t="inlineStr">
        <is>
          <t>levokumskoe-beloe-rkatsiteli-suhoe-10</t>
        </is>
      </c>
      <c r="I42" t="inlineStr">
        <is>
          <t>eleonora</t>
        </is>
      </c>
      <c r="J42" t="inlineStr">
        <is>
          <t>fanagoriya-beloe-polusladkoe</t>
        </is>
      </c>
      <c r="K42">
        <f>IF(C42="","",IFERROR(MATCH(C42,F42:J42,0),"нет"))</f>
        <v/>
      </c>
      <c r="L42">
        <f>IF(C42="","",IF(K42=1,1,0))</f>
        <v/>
      </c>
      <c r="M42">
        <f>IF(C42="","",IF(ISNUMBER(K42),1,0))</f>
        <v/>
      </c>
      <c r="N42" t="inlineStr">
        <is>
          <t>Зелёное вино. Рислинг - Цитронный Магарача — Фанагория — Белое полусухое</t>
        </is>
      </c>
      <c r="O42" t="inlineStr">
        <is>
          <t>Зелёное вино. Рислинг - Цитронный Магарача - Мерло — Фанагория — Розовое полусухое</t>
        </is>
      </c>
      <c r="P42" t="inlineStr">
        <is>
          <t>Белое — Левокумское — Белое сухое</t>
        </is>
      </c>
      <c r="Q42" t="inlineStr">
        <is>
          <t>Eleonora, 2021 — WINEMAFIA — Белое сухое</t>
        </is>
      </c>
      <c r="R42" t="inlineStr">
        <is>
          <t>Фанагория белое полусладкое — Фанагория — Белое полусладкое</t>
        </is>
      </c>
    </row>
    <row r="43">
      <c r="A43" t="inlineStr">
        <is>
          <t>95.07_01-09-2026_16-15-35.webp</t>
        </is>
      </c>
      <c r="B43" t="inlineStr">
        <is>
          <t>нет в каталоге</t>
        </is>
      </c>
      <c r="F43" t="inlineStr">
        <is>
          <t>khrustaleva-76-muscat-bryut-beloe</t>
        </is>
      </c>
      <c r="G43" t="inlineStr">
        <is>
          <t>khrustaleva-76-merlot-polusuhoe-rozovoe</t>
        </is>
      </c>
      <c r="H43" t="inlineStr">
        <is>
          <t>khrustaleva-76-muscat-polusladkoe-beloe</t>
        </is>
      </c>
      <c r="I43" t="inlineStr">
        <is>
          <t>aya-khrustaleva-76-merlot-organik</t>
        </is>
      </c>
      <c r="J43" t="inlineStr">
        <is>
          <t>novyy-svet-dom-shampanskih-vin-rossiyskoe-shampanskoe-kollektsionnoe-bryut-beloe-novyy-svet-kyuve-de-prestizh-pino-gri-millezim-rozovoe-125</t>
        </is>
      </c>
      <c r="K43">
        <f>IF(C43="","",IFERROR(MATCH(C43,F43:J43,0),"нет"))</f>
        <v/>
      </c>
      <c r="L43">
        <f>IF(C43="","",IF(K43=1,1,0))</f>
        <v/>
      </c>
      <c r="M43">
        <f>IF(C43="","",IF(ISNUMBER(K43),1,0))</f>
        <v/>
      </c>
      <c r="N43" t="inlineStr">
        <is>
          <t>Khrustaleva 76 muscat, брют, белое — AYA Organic Wine &amp; Vineyards — Белое брют</t>
        </is>
      </c>
      <c r="O43" t="inlineStr">
        <is>
          <t>Khrustaleva 76 merlot, полусухое, розовое — AYA Organic Wine &amp; Vineyards — Розовое полусухое</t>
        </is>
      </c>
      <c r="P43" t="inlineStr">
        <is>
          <t>Khrustaleva 76 muscat, полусладкое, белое — AYA Organic Wine &amp; Vineyards — Белое полусладкое</t>
        </is>
      </c>
      <c r="Q43" t="inlineStr">
        <is>
          <t>Aya Khrustaleva 76 merlot Органик — AYA Organic Wine &amp; Vineyards — Розовое полусухое</t>
        </is>
      </c>
      <c r="R43" t="inlineStr">
        <is>
          <t>Российское шампанское коллекционное брют белое «Новый Свет. Кюве Де Престиж Пино Гри Миллезим» — Новый Свет. Дом шампанских вин — Розовое брют</t>
        </is>
      </c>
    </row>
    <row r="44">
      <c r="A44" t="inlineStr">
        <is>
          <t>95.17_29-08-2026_11-06-42.webp</t>
        </is>
      </c>
      <c r="B44" t="inlineStr">
        <is>
          <t>нет в каталоге</t>
        </is>
      </c>
      <c r="F44" t="inlineStr">
        <is>
          <t>golubitskoe-estate-pino-nuar-rezerv-krasnoe-suhoe-132</t>
        </is>
      </c>
      <c r="G44" t="inlineStr">
        <is>
          <t>golubitskoe-estate-winery-series-pino-nuar-rozovoe-suhoe-115</t>
        </is>
      </c>
      <c r="H44" t="inlineStr">
        <is>
          <t>golubitskoe-estate-sovinon-blan-beloe-suhoe-11</t>
        </is>
      </c>
      <c r="I44" t="inlineStr">
        <is>
          <t>golubitskoe-estate-shardone-rezerv-beloe-suhoe-135</t>
        </is>
      </c>
      <c r="J44" t="inlineStr">
        <is>
          <t>golubitskoe-estate-red-blend-kaberne-sovinon-krasnoe-suhoe-136</t>
        </is>
      </c>
      <c r="K44">
        <f>IF(C44="","",IFERROR(MATCH(C44,F44:J44,0),"нет"))</f>
        <v/>
      </c>
      <c r="L44">
        <f>IF(C44="","",IF(K44=1,1,0))</f>
        <v/>
      </c>
      <c r="M44">
        <f>IF(C44="","",IF(ISNUMBER(K44),1,0))</f>
        <v/>
      </c>
      <c r="N44" t="inlineStr">
        <is>
          <t>Пино Нуар Резерв — Golubitskoe Estate — Красное сухое</t>
        </is>
      </c>
      <c r="O44" t="inlineStr">
        <is>
          <t>Winery Series. Пино Нуар — Golubitskoe Estate — Розовое сухое</t>
        </is>
      </c>
      <c r="P44" t="inlineStr">
        <is>
          <t>Совиньон Блан — Golubitskoe Estate — Белое сухое</t>
        </is>
      </c>
      <c r="Q44" t="inlineStr">
        <is>
          <t>Шардоне Резерв — Golubitskoe Estate — Белое сухое</t>
        </is>
      </c>
      <c r="R44" t="inlineStr">
        <is>
          <t>Red Blend — Golubitskoe Estate — Красное сухое</t>
        </is>
      </c>
    </row>
    <row r="45">
      <c r="A45" t="inlineStr">
        <is>
          <t>95.19_05-09-2026_15-32-06.webp</t>
        </is>
      </c>
      <c r="B45" t="inlineStr">
        <is>
          <t>нет в каталоге</t>
        </is>
      </c>
      <c r="F45" t="inlineStr">
        <is>
          <t>fanagoriya-alveus-ultra-cuvee-brut-shardone-beloe-bryut-12</t>
        </is>
      </c>
      <c r="G45" t="inlineStr">
        <is>
          <t>fanagoriya-alveus-ultra-cuvee-ekstra-bryut-beloe-risling-reynskiy-12</t>
        </is>
      </c>
      <c r="H45" t="inlineStr">
        <is>
          <t>fanagoriya-alveus-ultra-cuvee-ekstra-bryut-rozovoe-merlo-12</t>
        </is>
      </c>
      <c r="I45" t="inlineStr">
        <is>
          <t>fanagoriya-alveus-ultra-cuvee-bryut-rozovoe-merlo-igristoe-bryut-rozovoe-12</t>
        </is>
      </c>
      <c r="J45" t="inlineStr">
        <is>
          <t>fanagoriya-blanc-de-blancs-shardone-beloe-bryut-12</t>
        </is>
      </c>
      <c r="K45">
        <f>IF(C45="","",IFERROR(MATCH(C45,F45:J45,0),"нет"))</f>
        <v/>
      </c>
      <c r="L45">
        <f>IF(C45="","",IF(K45=1,1,0))</f>
        <v/>
      </c>
      <c r="M45">
        <f>IF(C45="","",IF(ISNUMBER(K45),1,0))</f>
        <v/>
      </c>
      <c r="N45" t="inlineStr">
        <is>
          <t>Alveus Ultra Cuvee Brut — Фанагория — Белое брют</t>
        </is>
      </c>
      <c r="O45" t="inlineStr">
        <is>
          <t>Alveus Ultra Cuvee. Экстра брют белое — Фанагория — Белое экстра брют</t>
        </is>
      </c>
      <c r="P45" t="inlineStr">
        <is>
          <t>Alveus Ultra Cuvee. Экстра брют розовое — Фанагория — Розовое экстра брют</t>
        </is>
      </c>
      <c r="Q45" t="inlineStr">
        <is>
          <t>Alveus Ultra Cuvee. Брют розовое — Фанагория — Розовое брют</t>
        </is>
      </c>
      <c r="R45" t="inlineStr">
        <is>
          <t>Blanc de Blancs — Фанагория — Белое брют</t>
        </is>
      </c>
    </row>
    <row r="46">
      <c r="A46" t="inlineStr">
        <is>
          <t>95.24_19-08-2026_20-00-22.webp</t>
        </is>
      </c>
      <c r="B46" t="inlineStr">
        <is>
          <t>уверенно</t>
        </is>
      </c>
      <c r="C46" t="inlineStr">
        <is>
          <t>zhemchuzhnaya-9-czitron-shardone-1</t>
        </is>
      </c>
      <c r="D46" t="inlineStr">
        <is>
          <t>Жемчужная 9 Цитрон, Шардоне — АРАТТИ — Белое полусладкое</t>
        </is>
      </c>
      <c r="F46" t="inlineStr">
        <is>
          <t>zhemchuzhnaya-9-czitron-shardone-1</t>
        </is>
      </c>
      <c r="G46" t="inlineStr">
        <is>
          <t>czitronnyj-magaracha-sovinon-blan</t>
        </is>
      </c>
      <c r="H46" t="inlineStr">
        <is>
          <t>zhemchuzhnaya-9-aligote-czitron</t>
        </is>
      </c>
      <c r="I46" t="inlineStr">
        <is>
          <t>zhemchuzhnaya-9-czitron-shardone</t>
        </is>
      </c>
      <c r="J46" t="inlineStr">
        <is>
          <t>zhemchuzhnaya-9-sovinon-blan-aligote</t>
        </is>
      </c>
      <c r="K46">
        <f>IF(C46="","",IFERROR(MATCH(C46,F46:J46,0),"нет"))</f>
        <v/>
      </c>
      <c r="L46">
        <f>IF(C46="","",IF(K46=1,1,0))</f>
        <v/>
      </c>
      <c r="M46">
        <f>IF(C46="","",IF(ISNUMBER(K46),1,0))</f>
        <v/>
      </c>
      <c r="N46" t="inlineStr">
        <is>
          <t>Жемчужная 9 Цитрон, Шардоне — АРАТТИ — Белое полусладкое</t>
        </is>
      </c>
      <c r="O46" t="inlineStr">
        <is>
          <t>Жемчужная 9 Цитрон, Совиньон блан — АРАТТИ — Белое полусухое</t>
        </is>
      </c>
      <c r="P46" t="inlineStr">
        <is>
          <t>Жемчужная 9 Алиготе, Цитрон — АРАТТИ — Белое сухое</t>
        </is>
      </c>
      <c r="Q46" t="inlineStr">
        <is>
          <t>Жемчужная 9 Цитрон, Шардоне — АРАТТИ — Белое сухое</t>
        </is>
      </c>
      <c r="R46" t="inlineStr">
        <is>
          <t>Жемчужная 9 Совиньон блан, Алиготе — АРАТТИ — Белое сухое</t>
        </is>
      </c>
    </row>
    <row r="47">
      <c r="A47" t="inlineStr">
        <is>
          <t>95.29_21-08-2026_17-24-49.webp</t>
        </is>
      </c>
      <c r="B47" t="inlineStr">
        <is>
          <t>нет в каталоге</t>
        </is>
      </c>
      <c r="F47" t="inlineStr">
        <is>
          <t>bakla-vines-pino-nuar-krasnoe-suhoe-125</t>
        </is>
      </c>
      <c r="G47" t="inlineStr">
        <is>
          <t>vaynkraft-pino-nuar-krasnoe-suhoe-13</t>
        </is>
      </c>
      <c r="H47" t="inlineStr">
        <is>
          <t>usadba-mezyb-shishka-pino-nuar-rozovoe-suhoe-115</t>
        </is>
      </c>
      <c r="I47" t="inlineStr">
        <is>
          <t>usadba-perovskih-pino-nuar-rezerv-krasnoe-suhoe-122</t>
        </is>
      </c>
      <c r="J47" t="inlineStr">
        <is>
          <t>risling-1</t>
        </is>
      </c>
      <c r="K47">
        <f>IF(C47="","",IFERROR(MATCH(C47,F47:J47,0),"нет"))</f>
        <v/>
      </c>
      <c r="L47">
        <f>IF(C47="","",IF(K47=1,1,0))</f>
        <v/>
      </c>
      <c r="M47">
        <f>IF(C47="","",IF(ISNUMBER(K47),1,0))</f>
        <v/>
      </c>
      <c r="N47" t="inlineStr">
        <is>
          <t>Пино Нуар — Bakla Vines — Красное сухое</t>
        </is>
      </c>
      <c r="O47" t="inlineStr">
        <is>
          <t>Пино Нуар — ВайнКрафт — Красное сухое</t>
        </is>
      </c>
      <c r="P47" t="inlineStr">
        <is>
          <t>Шишка. Пино Нуар — Усадьба Мезыбь — Розовое сухое</t>
        </is>
      </c>
      <c r="Q47" t="inlineStr">
        <is>
          <t>Пино Нуар Резерв — Усадьба Перовских — Красное сухое</t>
        </is>
      </c>
      <c r="R47" t="inlineStr">
        <is>
          <t>Рислинг — Табия — Белое полусухое</t>
        </is>
      </c>
    </row>
    <row r="48">
      <c r="A48" t="inlineStr">
        <is>
          <t>95.2_05-09-2026_13-54-13.webp</t>
        </is>
      </c>
      <c r="B48" t="inlineStr">
        <is>
          <t>уверенно</t>
        </is>
      </c>
      <c r="C48" t="inlineStr">
        <is>
          <t>aratti-kaberne-po-belomu-1</t>
        </is>
      </c>
      <c r="D48" t="inlineStr">
        <is>
          <t>АРАТТИ Каберне по-белому — АРАТТИ — Розовое полусухое</t>
        </is>
      </c>
      <c r="F48" t="inlineStr">
        <is>
          <t>aratti-kaberne-po-belomu-1</t>
        </is>
      </c>
      <c r="G48" t="inlineStr">
        <is>
          <t>aratti-kaberne-po-belomu</t>
        </is>
      </c>
      <c r="H48" t="inlineStr">
        <is>
          <t>aratti-kaberne-sovinon-2021-krasnoe-suhoe</t>
        </is>
      </c>
      <c r="I48" t="inlineStr">
        <is>
          <t>aratti-muskat-belyj-polusuhoe</t>
        </is>
      </c>
      <c r="J48" t="inlineStr">
        <is>
          <t>aratti-muskat-belyj-suhoe</t>
        </is>
      </c>
      <c r="K48">
        <f>IF(C48="","",IFERROR(MATCH(C48,F48:J48,0),"нет"))</f>
        <v/>
      </c>
      <c r="L48">
        <f>IF(C48="","",IF(K48=1,1,0))</f>
        <v/>
      </c>
      <c r="M48">
        <f>IF(C48="","",IF(ISNUMBER(K48),1,0))</f>
        <v/>
      </c>
      <c r="N48" t="inlineStr">
        <is>
          <t>АРАТТИ Каберне по-белому — АРАТТИ — Розовое полусухое</t>
        </is>
      </c>
      <c r="O48" t="inlineStr">
        <is>
          <t>АРАТТИ Каберне по-белому — АРАТТИ — Красное сухое</t>
        </is>
      </c>
      <c r="P48" t="inlineStr">
        <is>
          <t>АРАТТИ Каберне Совиньон 2021 красное сухое — АРАТТИ — Красное сухое</t>
        </is>
      </c>
      <c r="Q48" t="inlineStr">
        <is>
          <t>АРАТТИ Мускат белый полусухое — АРАТТИ — Белое полусухое</t>
        </is>
      </c>
      <c r="R48" t="inlineStr">
        <is>
          <t>АРАТТИ Мускат белый сухое — АРАТТИ — Белое сухое</t>
        </is>
      </c>
    </row>
    <row r="49">
      <c r="A49" t="inlineStr">
        <is>
          <t>95.32_02-09-2026_12-09-23.webp</t>
        </is>
      </c>
      <c r="B49" t="inlineStr">
        <is>
          <t>уверенно</t>
        </is>
      </c>
      <c r="C49" t="inlineStr">
        <is>
          <t>sovinon-blan</t>
        </is>
      </c>
      <c r="D49" t="inlineStr">
        <is>
          <t>Совиньон Блан — Литавщук. Litavshchuk vineyards &amp; winery — Белое полусладкое</t>
        </is>
      </c>
      <c r="F49" t="inlineStr">
        <is>
          <t>sovinon-blan</t>
        </is>
      </c>
      <c r="G49" t="inlineStr">
        <is>
          <t>blagolyubov-sovinon-blan-beloe-suhoe-125</t>
        </is>
      </c>
      <c r="H49" t="inlineStr">
        <is>
          <t>vinodelnya-begildeeva-kaberne-sovinon-krasnoe-suhoe-14</t>
        </is>
      </c>
      <c r="I49" t="inlineStr">
        <is>
          <t>dubinin-winery-sovinon-blan-beloe-suhoe-12</t>
        </is>
      </c>
      <c r="J49" t="inlineStr">
        <is>
          <t>vinodelnya-begildeeva-kaberne-sovinon-merlo-krasnoe-suhoe-14</t>
        </is>
      </c>
      <c r="K49">
        <f>IF(C49="","",IFERROR(MATCH(C49,F49:J49,0),"нет"))</f>
        <v/>
      </c>
      <c r="L49">
        <f>IF(C49="","",IF(K49=1,1,0))</f>
        <v/>
      </c>
      <c r="M49">
        <f>IF(C49="","",IF(ISNUMBER(K49),1,0))</f>
        <v/>
      </c>
      <c r="N49" t="inlineStr">
        <is>
          <t>Совиньон Блан — Литавщук. Litavshchuk vineyards &amp; winery — Белое полусладкое</t>
        </is>
      </c>
      <c r="O49" t="inlineStr">
        <is>
          <t>Совиньон Блан — Благолюбов — Белое сухое</t>
        </is>
      </c>
      <c r="P49" t="inlineStr">
        <is>
          <t>Каберне Совиньон — Винодельня Бегильдеева — Красное сухое</t>
        </is>
      </c>
      <c r="Q49" t="inlineStr">
        <is>
          <t>Совиньон Блан — Dubinin Winery — Белое сухое</t>
        </is>
      </c>
      <c r="R49" t="inlineStr">
        <is>
          <t>Каберне Совиньон – Мерло — Винодельня Бегильдеева — Красное сухое</t>
        </is>
      </c>
    </row>
    <row r="50">
      <c r="A50" t="inlineStr">
        <is>
          <t>95.35_05-09-2026_15-29-53.webp</t>
        </is>
      </c>
      <c r="B50" t="inlineStr">
        <is>
          <t>нет в каталоге</t>
        </is>
      </c>
      <c r="F50" t="inlineStr">
        <is>
          <t>fanagoriya-alveus-ultra-cuvee-brut-shardone-beloe-bryut-12</t>
        </is>
      </c>
      <c r="G50" t="inlineStr">
        <is>
          <t>fanagoriya-alveus-ultra-cuvee-ekstra-bryut-rozovoe-merlo-12</t>
        </is>
      </c>
      <c r="H50" t="inlineStr">
        <is>
          <t>fanagoriya-alveus-ultra-cuvee-ekstra-bryut-beloe-risling-reynskiy-12</t>
        </is>
      </c>
      <c r="I50" t="inlineStr">
        <is>
          <t>fanagoriya-alveus-ultra-cuvee-bryut-rozovoe-merlo-igristoe-bryut-rozovoe-12</t>
        </is>
      </c>
      <c r="J50" t="inlineStr">
        <is>
          <t>fanagoriya-blanc-de-blancs-shardone-beloe-bryut-12</t>
        </is>
      </c>
      <c r="K50">
        <f>IF(C50="","",IFERROR(MATCH(C50,F50:J50,0),"нет"))</f>
        <v/>
      </c>
      <c r="L50">
        <f>IF(C50="","",IF(K50=1,1,0))</f>
        <v/>
      </c>
      <c r="M50">
        <f>IF(C50="","",IF(ISNUMBER(K50),1,0))</f>
        <v/>
      </c>
      <c r="N50" t="inlineStr">
        <is>
          <t>Alveus Ultra Cuvee Brut — Фанагория — Белое брют</t>
        </is>
      </c>
      <c r="O50" t="inlineStr">
        <is>
          <t>Alveus Ultra Cuvee. Экстра брют розовое — Фанагория — Розовое экстра брют</t>
        </is>
      </c>
      <c r="P50" t="inlineStr">
        <is>
          <t>Alveus Ultra Cuvee. Экстра брют белое — Фанагория — Белое экстра брют</t>
        </is>
      </c>
      <c r="Q50" t="inlineStr">
        <is>
          <t>Alveus Ultra Cuvee. Брют розовое — Фанагория — Розовое брют</t>
        </is>
      </c>
      <c r="R50" t="inlineStr">
        <is>
          <t>Blanc de Blancs — Фанагория — Белое брют</t>
        </is>
      </c>
    </row>
    <row r="51">
      <c r="A51" t="inlineStr">
        <is>
          <t>95.36_28-08-2026_17-09-04.webp</t>
        </is>
      </c>
      <c r="B51" t="inlineStr">
        <is>
          <t>нет в каталоге</t>
        </is>
      </c>
      <c r="F51" t="inlineStr">
        <is>
          <t>winemaker-selection</t>
        </is>
      </c>
      <c r="G51" t="inlineStr">
        <is>
          <t>inkermanskiy-zmv-inkerman-bryut-rkatsiteli-beloe-12</t>
        </is>
      </c>
      <c r="H51" t="inlineStr">
        <is>
          <t>inkerman-shato-ruzh</t>
        </is>
      </c>
      <c r="I51" t="inlineStr">
        <is>
          <t>inkermanskiy-zmv-inkerman-bryut-shardone-beloe-135</t>
        </is>
      </c>
      <c r="J51" t="inlineStr">
        <is>
          <t>inkerman-shato-blan</t>
        </is>
      </c>
      <c r="K51">
        <f>IF(C51="","",IFERROR(MATCH(C51,F51:J51,0),"нет"))</f>
        <v/>
      </c>
      <c r="L51">
        <f>IF(C51="","",IF(K51=1,1,0))</f>
        <v/>
      </c>
      <c r="M51">
        <f>IF(C51="","",IF(ISNUMBER(K51),1,0))</f>
        <v/>
      </c>
      <c r="N51" t="inlineStr">
        <is>
          <t>Winemaker selection — Инкерманский ЗМВ — Белое полусухое</t>
        </is>
      </c>
      <c r="O51" t="inlineStr">
        <is>
          <t>Инкерман Брют — Инкерманский ЗМВ — Белое брют</t>
        </is>
      </c>
      <c r="P51" t="inlineStr">
        <is>
          <t>Inkerman Шато Руж — Инкерманский ЗМВ — Красное полусухое</t>
        </is>
      </c>
      <c r="Q51" t="inlineStr">
        <is>
          <t>Inkerman брют — Инкерманский ЗМВ — Белое брют</t>
        </is>
      </c>
      <c r="R51" t="inlineStr">
        <is>
          <t>Инкерман Шато Блан — Инкерманский ЗМВ — Белое полусухое</t>
        </is>
      </c>
    </row>
    <row r="52">
      <c r="A52" t="inlineStr">
        <is>
          <t>95.49_05-09-2026_15-34-51.webp</t>
        </is>
      </c>
      <c r="B52" t="inlineStr">
        <is>
          <t>уверенно</t>
        </is>
      </c>
      <c r="C52" t="inlineStr">
        <is>
          <t>zhemchuzhnaya-9-pino-nuar-muskat-rozovyj-2</t>
        </is>
      </c>
      <c r="D52" t="inlineStr">
        <is>
          <t>Жемчужная 9 Пино нуар, Мускат Розовый — АРАТТИ — Розовое полусладкое</t>
        </is>
      </c>
      <c r="F52" t="inlineStr">
        <is>
          <t>zhemchuzhnaya-9-pino-nuar-muskat-rozovyj-1</t>
        </is>
      </c>
      <c r="G52" t="inlineStr">
        <is>
          <t>zhemchuzhnaya-9-pino-nuar-muskat-rozovyj</t>
        </is>
      </c>
      <c r="H52" t="inlineStr">
        <is>
          <t>zhemchuzhnaya-9-muskat-rozovyj-pino-gri</t>
        </is>
      </c>
      <c r="I52" t="inlineStr">
        <is>
          <t>zhemchuzhnaya-9-pino-nuar-muskat-rozovyj-2</t>
        </is>
      </c>
      <c r="J52" t="inlineStr">
        <is>
          <t>zhemchuzhnaya-9-pino-gri-pino-nuar</t>
        </is>
      </c>
      <c r="K52">
        <f>IF(C52="","",IFERROR(MATCH(C52,F52:J52,0),"нет"))</f>
        <v/>
      </c>
      <c r="L52">
        <f>IF(C52="","",IF(K52=1,1,0))</f>
        <v/>
      </c>
      <c r="M52">
        <f>IF(C52="","",IF(ISNUMBER(K52),1,0))</f>
        <v/>
      </c>
      <c r="N52" t="inlineStr">
        <is>
          <t>Жемчужная 9 Пино Нуар, Мускат розовый — АРАТТИ — Розовое полусухое</t>
        </is>
      </c>
      <c r="O52" t="inlineStr">
        <is>
          <t>Жемчужная 9 Пино Нуар, Мускат Розовый — АРАТТИ — Розовое сухое</t>
        </is>
      </c>
      <c r="P52" t="inlineStr">
        <is>
          <t>Жемчужная 9 Мускат Розовый, Пино гри — АРАТТИ — Розовое сухое</t>
        </is>
      </c>
      <c r="Q52" t="inlineStr">
        <is>
          <t>Жемчужная 9 Пино нуар, Мускат Розовый — АРАТТИ — Розовое полусладкое</t>
        </is>
      </c>
      <c r="R52" t="inlineStr">
        <is>
          <t>Жемчужная 9 Пино Гри, Пино Нуар — АРАТТИ — Розовое сухое</t>
        </is>
      </c>
    </row>
    <row r="53">
      <c r="A53" t="inlineStr">
        <is>
          <t>95.63_24-08-2026_17-47-43.webp</t>
        </is>
      </c>
      <c r="B53" t="inlineStr">
        <is>
          <t>уверенно</t>
        </is>
      </c>
      <c r="C53" t="inlineStr">
        <is>
          <t>rubin-golodrigi</t>
        </is>
      </c>
      <c r="D53" t="inlineStr">
        <is>
          <t>Рубин Голодриги  — Табия — Красное сухое</t>
        </is>
      </c>
      <c r="F53" t="inlineStr">
        <is>
          <t>rubin-golodrigi</t>
        </is>
      </c>
      <c r="G53" t="inlineStr">
        <is>
          <t>kaberne-sovinon-2</t>
        </is>
      </c>
      <c r="H53" t="inlineStr">
        <is>
          <t>bukovinka</t>
        </is>
      </c>
      <c r="I53" t="inlineStr">
        <is>
          <t>roze-2</t>
        </is>
      </c>
      <c r="J53" t="inlineStr">
        <is>
          <t>rozovoe-zoloto</t>
        </is>
      </c>
      <c r="K53">
        <f>IF(C53="","",IFERROR(MATCH(C53,F53:J53,0),"нет"))</f>
        <v/>
      </c>
      <c r="L53">
        <f>IF(C53="","",IF(K53=1,1,0))</f>
        <v/>
      </c>
      <c r="M53">
        <f>IF(C53="","",IF(ISNUMBER(K53),1,0))</f>
        <v/>
      </c>
      <c r="N53" t="inlineStr">
        <is>
          <t>Рубин Голодриги  — Табия — Красное сухое</t>
        </is>
      </c>
      <c r="O53" t="inlineStr">
        <is>
          <t>Каберне Совиньон — Табия — Красное сухое</t>
        </is>
      </c>
      <c r="P53" t="inlineStr">
        <is>
          <t>Буковинка — Табия — Белое полусухое</t>
        </is>
      </c>
      <c r="Q53" t="inlineStr">
        <is>
          <t>Розе — Табия — Розовое сухое</t>
        </is>
      </c>
      <c r="R53" t="inlineStr">
        <is>
          <t>Розовое золото — Табия — Розовое полусухое</t>
        </is>
      </c>
    </row>
    <row r="54">
      <c r="A54" t="inlineStr">
        <is>
          <t>95.75_02-09-2026_14-47-49.webp</t>
        </is>
      </c>
      <c r="B54" t="inlineStr">
        <is>
          <t>уверенно</t>
        </is>
      </c>
      <c r="C54" t="inlineStr">
        <is>
          <t>uva-vallis-risling</t>
        </is>
      </c>
      <c r="D54" t="inlineStr">
        <is>
          <t>Uva Vallis Рислинг — Uva Vallis — Красное сухое</t>
        </is>
      </c>
      <c r="F54" t="inlineStr">
        <is>
          <t>uva-vallis-risling</t>
        </is>
      </c>
      <c r="G54" t="inlineStr">
        <is>
          <t>uva-vallis-shardone</t>
        </is>
      </c>
      <c r="H54" t="inlineStr">
        <is>
          <t>uva-vallis-sira</t>
        </is>
      </c>
      <c r="I54" t="inlineStr">
        <is>
          <t>uva-vallis-sovinon-blan</t>
        </is>
      </c>
      <c r="J54" t="inlineStr">
        <is>
          <t>alma-valley-risling-beloe-polusuhoe-125</t>
        </is>
      </c>
      <c r="K54">
        <f>IF(C54="","",IFERROR(MATCH(C54,F54:J54,0),"нет"))</f>
        <v/>
      </c>
      <c r="L54">
        <f>IF(C54="","",IF(K54=1,1,0))</f>
        <v/>
      </c>
      <c r="M54">
        <f>IF(C54="","",IF(ISNUMBER(K54),1,0))</f>
        <v/>
      </c>
      <c r="N54" t="inlineStr">
        <is>
          <t>Uva Vallis Рислинг — Uva Vallis — Красное сухое</t>
        </is>
      </c>
      <c r="O54" t="inlineStr">
        <is>
          <t>Uva Vallis Шардоне — Uva Vallis — Белое сухое</t>
        </is>
      </c>
      <c r="P54" t="inlineStr">
        <is>
          <t>Uva Vallis Сира — Uva Vallis — Красное сухое</t>
        </is>
      </c>
      <c r="Q54" t="inlineStr">
        <is>
          <t>Uva Vallis Совиньон Блан — Uva Vallis — Белое сухое</t>
        </is>
      </c>
      <c r="R54" t="inlineStr">
        <is>
          <t>Рислинг — Alma Valley — Белое полусухое</t>
        </is>
      </c>
    </row>
    <row r="55">
      <c r="A55" t="inlineStr">
        <is>
          <t>95.76_23-08-2026_18-19-43.webp</t>
        </is>
      </c>
      <c r="B55" t="inlineStr">
        <is>
          <t>уверенно</t>
        </is>
      </c>
      <c r="C55" t="inlineStr">
        <is>
          <t>denisov_barynya_kurmyshi</t>
        </is>
      </c>
      <c r="D55" t="inlineStr">
        <is>
          <t>Барыня. Курмыши — Denisov Winery — Розовое сухое</t>
        </is>
      </c>
      <c r="F55" t="inlineStr">
        <is>
          <t>denisov_pereplyas_kurmyshi</t>
        </is>
      </c>
      <c r="G55" t="inlineStr">
        <is>
          <t>denisov_barynya_kurmyshi</t>
        </is>
      </c>
      <c r="H55" t="inlineStr">
        <is>
          <t>denisov-winery-assamblyazh-rubin-golodrigi-rozovoe-suhoe-12</t>
        </is>
      </c>
      <c r="I55" t="inlineStr">
        <is>
          <t>denisov_pino_noir_klaret</t>
        </is>
      </c>
      <c r="J55" t="inlineStr">
        <is>
          <t>belbek-kokur-kokur-belyy-beloe-suhoe-13</t>
        </is>
      </c>
      <c r="K55">
        <f>IF(C55="","",IFERROR(MATCH(C55,F55:J55,0),"нет"))</f>
        <v/>
      </c>
      <c r="L55">
        <f>IF(C55="","",IF(K55=1,1,0))</f>
        <v/>
      </c>
      <c r="M55">
        <f>IF(C55="","",IF(ISNUMBER(K55),1,0))</f>
        <v/>
      </c>
      <c r="N55" t="inlineStr">
        <is>
          <t>Перепляс. Курмыши — Denisov Winery — Розовое сухое</t>
        </is>
      </c>
      <c r="O55" t="inlineStr">
        <is>
          <t>Барыня. Курмыши — Denisov Winery — Розовое сухое</t>
        </is>
      </c>
      <c r="P55" t="inlineStr">
        <is>
          <t>Ассамбляж — Denisov Winery — Розовое сухое</t>
        </is>
      </c>
      <c r="Q55" t="inlineStr">
        <is>
          <t>Пино Нуар кларет. Красная стрелка — Denisov Winery — Розовое сухое</t>
        </is>
      </c>
      <c r="R55" t="inlineStr">
        <is>
          <t>Кокур — Бельбек — Белое сухое</t>
        </is>
      </c>
    </row>
    <row r="56">
      <c r="A56" t="inlineStr">
        <is>
          <t>95.88_02-09-2026_14-41-59.webp</t>
        </is>
      </c>
      <c r="B56" t="inlineStr">
        <is>
          <t>уверенно</t>
        </is>
      </c>
      <c r="C56" t="inlineStr">
        <is>
          <t>fanagoriya-zelyonoe-vino-risling-tsitronnyy-magaracha-beloe-polusuhoe-11</t>
        </is>
      </c>
      <c r="D56" t="inlineStr">
        <is>
          <t>Зелёное вино. Рислинг - Цитронный Магарача — Фанагория — Белое полусухое</t>
        </is>
      </c>
      <c r="F56" t="inlineStr">
        <is>
          <t>fanagoriya-zelyonoe-vino-risling-tsitronnyy-magaracha-beloe-polusuhoe-11</t>
        </is>
      </c>
      <c r="G56" t="inlineStr">
        <is>
          <t>fanagoriya-zelyonoe-vino-risling-tsitronnyy-magaracha-merlo-rozovoe-polusuhoe-11</t>
        </is>
      </c>
      <c r="H56" t="inlineStr">
        <is>
          <t>rozovoe-polusladkoe</t>
        </is>
      </c>
      <c r="I56" t="inlineStr">
        <is>
          <t>fanagoriya-beloe-polusladkoe</t>
        </is>
      </c>
      <c r="J56" t="inlineStr">
        <is>
          <t>fanagoriya-ice-wine-risling-tihoe-beloe-sladkoe-10</t>
        </is>
      </c>
      <c r="K56">
        <f>IF(C56="","",IFERROR(MATCH(C56,F56:J56,0),"нет"))</f>
        <v/>
      </c>
      <c r="L56">
        <f>IF(C56="","",IF(K56=1,1,0))</f>
        <v/>
      </c>
      <c r="M56">
        <f>IF(C56="","",IF(ISNUMBER(K56),1,0))</f>
        <v/>
      </c>
      <c r="N56" t="inlineStr">
        <is>
          <t>Зелёное вино. Рислинг - Цитронный Магарача — Фанагория — Белое полусухое</t>
        </is>
      </c>
      <c r="O56" t="inlineStr">
        <is>
          <t>Зелёное вино. Рислинг - Цитронный Магарача - Мерло — Фанагория — Розовое полусухое</t>
        </is>
      </c>
      <c r="P56" t="inlineStr">
        <is>
          <t>Розовое полусладкое — Фанагория — Розовое полусладкое</t>
        </is>
      </c>
      <c r="Q56" t="inlineStr">
        <is>
          <t>Фанагория белое полусладкое — Фанагория — Белое полусладкое</t>
        </is>
      </c>
      <c r="R56" t="inlineStr">
        <is>
          <t>Ice Wine Рислинг тихое — Фанагория — Белое сладкое</t>
        </is>
      </c>
    </row>
    <row r="57">
      <c r="A57" t="inlineStr">
        <is>
          <t>95.8_19-08-2026_19-33-23.webp</t>
        </is>
      </c>
      <c r="B57" t="inlineStr">
        <is>
          <t>уверенно</t>
        </is>
      </c>
      <c r="C57" t="inlineStr">
        <is>
          <t>roze-2</t>
        </is>
      </c>
      <c r="D57" t="inlineStr">
        <is>
          <t>Розе — Табия — Розовое сухое</t>
        </is>
      </c>
      <c r="F57" t="inlineStr">
        <is>
          <t>roze-2</t>
        </is>
      </c>
      <c r="G57" t="inlineStr">
        <is>
          <t>bukovinka</t>
        </is>
      </c>
      <c r="H57" t="inlineStr">
        <is>
          <t>rozovoe-zoloto</t>
        </is>
      </c>
      <c r="I57" t="inlineStr">
        <is>
          <t>rubin-golodrigi</t>
        </is>
      </c>
      <c r="J57" t="inlineStr">
        <is>
          <t>oleg</t>
        </is>
      </c>
      <c r="K57">
        <f>IF(C57="","",IFERROR(MATCH(C57,F57:J57,0),"нет"))</f>
        <v/>
      </c>
      <c r="L57">
        <f>IF(C57="","",IF(K57=1,1,0))</f>
        <v/>
      </c>
      <c r="M57">
        <f>IF(C57="","",IF(ISNUMBER(K57),1,0))</f>
        <v/>
      </c>
      <c r="N57" t="inlineStr">
        <is>
          <t>Розе — Табия — Розовое сухое</t>
        </is>
      </c>
      <c r="O57" t="inlineStr">
        <is>
          <t>Буковинка — Табия — Белое полусухое</t>
        </is>
      </c>
      <c r="P57" t="inlineStr">
        <is>
          <t>Розовое золото — Табия — Розовое полусухое</t>
        </is>
      </c>
      <c r="Q57" t="inlineStr">
        <is>
          <t>Рубин Голодриги  — Табия — Красное сухое</t>
        </is>
      </c>
      <c r="R57" t="inlineStr">
        <is>
          <t>Олег — Табия — Белое сухое</t>
        </is>
      </c>
    </row>
    <row r="58">
      <c r="A58" t="inlineStr">
        <is>
          <t>95.8_19-08-2026_20-47-59.webp</t>
        </is>
      </c>
      <c r="B58" t="inlineStr">
        <is>
          <t>не уверен</t>
        </is>
      </c>
      <c r="C58" t="inlineStr">
        <is>
          <t>denisov-winery-sovinon-blan-beloe-suhoe-115</t>
        </is>
      </c>
      <c r="D58" t="inlineStr">
        <is>
          <t>Совиньон Блан — Denisov Winery — Белое сухое</t>
        </is>
      </c>
      <c r="E58" t="inlineStr">
        <is>
          <t>этикетка по цвету другая</t>
        </is>
      </c>
      <c r="F58" t="inlineStr">
        <is>
          <t>denisov-winery-sovinon-blan-beloe-suhoe-115</t>
        </is>
      </c>
      <c r="G58" t="inlineStr">
        <is>
          <t>dubinin-winery-sovinon-blan-beloe-suhoe-12</t>
        </is>
      </c>
      <c r="H58" t="inlineStr">
        <is>
          <t>sovinon-blan</t>
        </is>
      </c>
      <c r="I58" t="inlineStr">
        <is>
          <t>sovinon-blan-krasnaya-gorka</t>
        </is>
      </c>
      <c r="J58" t="inlineStr">
        <is>
          <t>blagolyubov-sovinon-blan-beloe-suhoe-125</t>
        </is>
      </c>
      <c r="K58">
        <f>IF(C58="","",IFERROR(MATCH(C58,F58:J58,0),"нет"))</f>
        <v/>
      </c>
      <c r="L58">
        <f>IF(C58="","",IF(K58=1,1,0))</f>
        <v/>
      </c>
      <c r="M58">
        <f>IF(C58="","",IF(ISNUMBER(K58),1,0))</f>
        <v/>
      </c>
      <c r="N58" t="inlineStr">
        <is>
          <t>Совиньон Блан — Denisov Winery — Белое сухое</t>
        </is>
      </c>
      <c r="O58" t="inlineStr">
        <is>
          <t>Совиньон Блан — Dubinin Winery — Белое сухое</t>
        </is>
      </c>
      <c r="P58" t="inlineStr">
        <is>
          <t>Совиньон Блан — Литавщук. Litavshchuk vineyards &amp; winery — Белое полусладкое</t>
        </is>
      </c>
      <c r="Q58" t="inlineStr">
        <is>
          <t>Совиньон Блан — Галицкий и Галицкий — Белое сухое</t>
        </is>
      </c>
      <c r="R58" t="inlineStr">
        <is>
          <t>Совиньон Блан — Благолюбов — Белое сухое</t>
        </is>
      </c>
    </row>
    <row r="59">
      <c r="A59" t="inlineStr">
        <is>
          <t>96.05_28-08-2026_09-14-57.webp</t>
        </is>
      </c>
      <c r="B59" t="inlineStr">
        <is>
          <t>нет в каталоге</t>
        </is>
      </c>
      <c r="F59" t="inlineStr">
        <is>
          <t>usadba-divnomorskoe-yuzhnyy-les-merlo-krasnoe-suhoe-137</t>
        </is>
      </c>
      <c r="G59" t="inlineStr">
        <is>
          <t>usadba-divnomorskoe-solnechnyy-veter-shardone-beloe-suhoe-125</t>
        </is>
      </c>
      <c r="H59" t="inlineStr">
        <is>
          <t>usadba-divnomorskoe-solist-marselan-rozovoe-suhoe-115</t>
        </is>
      </c>
      <c r="I59" t="inlineStr">
        <is>
          <t>usadba-divnomorskoe-holodnyy-tuman-risling-beloe-suhoe-115</t>
        </is>
      </c>
      <c r="J59" t="inlineStr">
        <is>
          <t>vinodelnya-vedernikov-vedernikov-krasnostop-zolotovskiy-magnum-krasnoe-suhoe-145</t>
        </is>
      </c>
      <c r="K59">
        <f>IF(C59="","",IFERROR(MATCH(C59,F59:J59,0),"нет"))</f>
        <v/>
      </c>
      <c r="L59">
        <f>IF(C59="","",IF(K59=1,1,0))</f>
        <v/>
      </c>
      <c r="M59">
        <f>IF(C59="","",IF(ISNUMBER(K59),1,0))</f>
        <v/>
      </c>
      <c r="N59" t="inlineStr">
        <is>
          <t>Южный Лес — Усадьба Дивноморское — Красное сухое</t>
        </is>
      </c>
      <c r="O59" t="inlineStr">
        <is>
          <t>Солнечный Ветер — Усадьба Дивноморское — Белое сухое</t>
        </is>
      </c>
      <c r="P59" t="inlineStr">
        <is>
          <t>Солист — Усадьба Дивноморское — Розовое сухое</t>
        </is>
      </c>
      <c r="Q59" t="inlineStr">
        <is>
          <t>Холодный Туман — Усадьба Дивноморское — Белое сухое</t>
        </is>
      </c>
      <c r="R59" t="inlineStr">
        <is>
          <t>Ведерниковъ Красностоп Золотовский (магнум) — Ведерниковъ — Красное сухое</t>
        </is>
      </c>
    </row>
    <row r="60">
      <c r="A60" t="inlineStr">
        <is>
          <t>96.07_28-08-2026_16-10-06.webp</t>
        </is>
      </c>
      <c r="B60" t="inlineStr">
        <is>
          <t>уверенно</t>
        </is>
      </c>
      <c r="C60" t="inlineStr">
        <is>
          <t>golubitskoe-estate-kaberne-sovinon-krasnoe-suhoe-137</t>
        </is>
      </c>
      <c r="D60" t="inlineStr">
        <is>
          <t>Каберне Совиньон — Golubitskoe Estate — Красное сухое</t>
        </is>
      </c>
      <c r="F60" t="inlineStr">
        <is>
          <t>golubitskoe-estate-kaberne-sovinon-krasnoe-suhoe-137</t>
        </is>
      </c>
      <c r="G60" t="inlineStr">
        <is>
          <t>golubitskoe-estate-red-blend-kaberne-sovinon-krasnoe-suhoe-136</t>
        </is>
      </c>
      <c r="H60" t="inlineStr">
        <is>
          <t>pomeste-golubitskoe-kaberne-sovinon-rezerv-krasnoe-suhoe-143</t>
        </is>
      </c>
      <c r="I60" t="inlineStr">
        <is>
          <t>golubitskoe-estate-kaberne-sovinon-rezerv-krasnoe-suhoe-125</t>
        </is>
      </c>
      <c r="J60" t="inlineStr">
        <is>
          <t>golubitskoe-estate-sovinon-blan-beloe-suhoe-11</t>
        </is>
      </c>
      <c r="K60">
        <f>IF(C60="","",IFERROR(MATCH(C60,F60:J60,0),"нет"))</f>
        <v/>
      </c>
      <c r="L60">
        <f>IF(C60="","",IF(K60=1,1,0))</f>
        <v/>
      </c>
      <c r="M60">
        <f>IF(C60="","",IF(ISNUMBER(K60),1,0))</f>
        <v/>
      </c>
      <c r="N60" t="inlineStr">
        <is>
          <t>Каберне Совиньон — Golubitskoe Estate — Красное сухое</t>
        </is>
      </c>
      <c r="O60" t="inlineStr">
        <is>
          <t>Red Blend — Golubitskoe Estate — Красное сухое</t>
        </is>
      </c>
      <c r="P60" t="inlineStr">
        <is>
          <t>Каберне Совиньон Резерв — Golubitskoe Estate — Красное сухое</t>
        </is>
      </c>
      <c r="Q60" t="inlineStr">
        <is>
          <t>Каберне Совиньон Резерв — Golubitskoe Estate — Красное сухое</t>
        </is>
      </c>
      <c r="R60" t="inlineStr">
        <is>
          <t>Совиньон Блан — Golubitskoe Estate — Белое сухое</t>
        </is>
      </c>
    </row>
    <row r="61">
      <c r="A61" t="inlineStr">
        <is>
          <t>96.08_22-08-2026_15-12-27.webp</t>
        </is>
      </c>
      <c r="B61" t="inlineStr">
        <is>
          <t>уверенно</t>
        </is>
      </c>
      <c r="C61" t="inlineStr">
        <is>
          <t>zhemchuzhnaya-9-czitron-shardone-1</t>
        </is>
      </c>
      <c r="D61" t="inlineStr">
        <is>
          <t>Жемчужная 9 Цитрон, Шардоне — АРАТТИ — Белое полусладкое</t>
        </is>
      </c>
      <c r="F61" t="inlineStr">
        <is>
          <t>zhemchuzhnaya-9-czitron-shardone-1</t>
        </is>
      </c>
      <c r="G61" t="inlineStr">
        <is>
          <t>zhemchuzhnaya-9-aligote-czitron</t>
        </is>
      </c>
      <c r="H61" t="inlineStr">
        <is>
          <t>zhemchuzhnaya-9-czitron-shardone</t>
        </is>
      </c>
      <c r="I61" t="inlineStr">
        <is>
          <t>czitronnyj-magaracha-sovinon-blan</t>
        </is>
      </c>
      <c r="J61" t="inlineStr">
        <is>
          <t>zhemchuzhnaya-9-sovinon-blan-aligote</t>
        </is>
      </c>
      <c r="K61">
        <f>IF(C61="","",IFERROR(MATCH(C61,F61:J61,0),"нет"))</f>
        <v/>
      </c>
      <c r="L61">
        <f>IF(C61="","",IF(K61=1,1,0))</f>
        <v/>
      </c>
      <c r="M61">
        <f>IF(C61="","",IF(ISNUMBER(K61),1,0))</f>
        <v/>
      </c>
      <c r="N61" t="inlineStr">
        <is>
          <t>Жемчужная 9 Цитрон, Шардоне — АРАТТИ — Белое полусладкое</t>
        </is>
      </c>
      <c r="O61" t="inlineStr">
        <is>
          <t>Жемчужная 9 Алиготе, Цитрон — АРАТТИ — Белое сухое</t>
        </is>
      </c>
      <c r="P61" t="inlineStr">
        <is>
          <t>Жемчужная 9 Цитрон, Шардоне — АРАТТИ — Белое сухое</t>
        </is>
      </c>
      <c r="Q61" t="inlineStr">
        <is>
          <t>Жемчужная 9 Цитрон, Совиньон блан — АРАТТИ — Белое полусухое</t>
        </is>
      </c>
      <c r="R61" t="inlineStr">
        <is>
          <t>Жемчужная 9 Совиньон блан, Алиготе — АРАТТИ — Белое сухое</t>
        </is>
      </c>
    </row>
    <row r="62">
      <c r="A62" t="inlineStr">
        <is>
          <t>96.08_28-08-2026_16-29-50.webp</t>
        </is>
      </c>
      <c r="B62" t="inlineStr">
        <is>
          <t>уверенно</t>
        </is>
      </c>
      <c r="C62" t="inlineStr">
        <is>
          <t>golubitskoe-estate-merlo-krasnoe-suhoe-135</t>
        </is>
      </c>
      <c r="D62" t="inlineStr">
        <is>
          <t>Мерло — Golubitskoe Estate — Красное сухое</t>
        </is>
      </c>
      <c r="F62" t="inlineStr">
        <is>
          <t>golubitskoe-estate-merlo-krasnoe-suhoe-135</t>
        </is>
      </c>
      <c r="G62" t="inlineStr">
        <is>
          <t>golubitskoe-estate-merlo-rezerv-krasnoe-suhoe-135</t>
        </is>
      </c>
      <c r="H62" t="inlineStr">
        <is>
          <t>golubitskoe-estate-red-blend-kaberne-sovinon-krasnoe-suhoe-136</t>
        </is>
      </c>
      <c r="I62" t="inlineStr">
        <is>
          <t>golubitskoe-estate-pino-nuar-rezerv-krasnoe-suhoe-132</t>
        </is>
      </c>
      <c r="J62" t="inlineStr">
        <is>
          <t>golubitskoe-rose</t>
        </is>
      </c>
      <c r="K62">
        <f>IF(C62="","",IFERROR(MATCH(C62,F62:J62,0),"нет"))</f>
        <v/>
      </c>
      <c r="L62">
        <f>IF(C62="","",IF(K62=1,1,0))</f>
        <v/>
      </c>
      <c r="M62">
        <f>IF(C62="","",IF(ISNUMBER(K62),1,0))</f>
        <v/>
      </c>
      <c r="N62" t="inlineStr">
        <is>
          <t>Мерло — Golubitskoe Estate — Красное сухое</t>
        </is>
      </c>
      <c r="O62" t="inlineStr">
        <is>
          <t>Мерло Резерв — Golubitskoe Estate — Красное сухое</t>
        </is>
      </c>
      <c r="P62" t="inlineStr">
        <is>
          <t>Red Blend — Golubitskoe Estate — Красное сухое</t>
        </is>
      </c>
      <c r="Q62" t="inlineStr">
        <is>
          <t>Пино Нуар Резерв — Golubitskoe Estate — Красное сухое</t>
        </is>
      </c>
      <c r="R62" t="inlineStr">
        <is>
          <t>Golubitskoe Rose — Поместье Голубицкое — Розовое сухое</t>
        </is>
      </c>
    </row>
    <row r="63">
      <c r="A63" t="inlineStr">
        <is>
          <t>96.11_22-08-2026_21-29-20.webp</t>
        </is>
      </c>
      <c r="B63" t="inlineStr">
        <is>
          <t>нет в каталоге</t>
        </is>
      </c>
      <c r="F63" t="inlineStr">
        <is>
          <t>abrau-dyurso-udelnoe-vedomstvo-imperatorskoe-beloe-bryut</t>
        </is>
      </c>
      <c r="G63" t="inlineStr">
        <is>
          <t>abrau-dyurso-imperial-brut-vintage-shardone-beloe-bryut-12</t>
        </is>
      </c>
      <c r="H63" t="inlineStr">
        <is>
          <t>aristov-anima-millesimato-beloe-bryut</t>
        </is>
      </c>
      <c r="I63" t="inlineStr">
        <is>
          <t>abrau-dyurso-imperatorskoe-bryut-shardone-beloe-12</t>
        </is>
      </c>
      <c r="J63" t="inlineStr">
        <is>
          <t>aristov-anima-pinot-grigio-blush</t>
        </is>
      </c>
      <c r="K63">
        <f>IF(C63="","",IFERROR(MATCH(C63,F63:J63,0),"нет"))</f>
        <v/>
      </c>
      <c r="L63">
        <f>IF(C63="","",IF(K63=1,1,0))</f>
        <v/>
      </c>
      <c r="M63">
        <f>IF(C63="","",IF(ISNUMBER(K63),1,0))</f>
        <v/>
      </c>
      <c r="N63" t="inlineStr">
        <is>
          <t>Абрау Дюрсо Удельное Ведомство Императорское белое брют — Абрау-Дюрсо — Белое брют</t>
        </is>
      </c>
      <c r="O63" t="inlineStr">
        <is>
          <t>Империал. Brut Vintage — Абрау-Дюрсо — Белое брют</t>
        </is>
      </c>
      <c r="P63" t="inlineStr">
        <is>
          <t>Аристов ANIMA Millesimato белое брют — Кубань-Вино — Белое брют</t>
        </is>
      </c>
      <c r="Q63" t="inlineStr">
        <is>
          <t>Императорское брют — Абрау-Дюрсо — Белое брют</t>
        </is>
      </c>
      <c r="R63" t="inlineStr">
        <is>
          <t>Аристов Anima Pinot Grigio Blush — Кубань-Вино — Розовое брют</t>
        </is>
      </c>
    </row>
    <row r="64">
      <c r="A64" t="inlineStr">
        <is>
          <t>96.13_19-08-2026_19-33-10.webp</t>
        </is>
      </c>
      <c r="B64" t="inlineStr">
        <is>
          <t>уверенно</t>
        </is>
      </c>
      <c r="C64" t="inlineStr">
        <is>
          <t>roze-2</t>
        </is>
      </c>
      <c r="D64" t="inlineStr">
        <is>
          <t>Розе — Табия — Розовое сухое</t>
        </is>
      </c>
      <c r="F64" t="inlineStr">
        <is>
          <t>roze-2</t>
        </is>
      </c>
      <c r="G64" t="inlineStr">
        <is>
          <t>oleg</t>
        </is>
      </c>
      <c r="H64" t="inlineStr">
        <is>
          <t>bukovinka</t>
        </is>
      </c>
      <c r="I64" t="inlineStr">
        <is>
          <t>rozovoe-zoloto</t>
        </is>
      </c>
      <c r="J64" t="inlineStr">
        <is>
          <t>rubin-golodrigi</t>
        </is>
      </c>
      <c r="K64">
        <f>IF(C64="","",IFERROR(MATCH(C64,F64:J64,0),"нет"))</f>
        <v/>
      </c>
      <c r="L64">
        <f>IF(C64="","",IF(K64=1,1,0))</f>
        <v/>
      </c>
      <c r="M64">
        <f>IF(C64="","",IF(ISNUMBER(K64),1,0))</f>
        <v/>
      </c>
      <c r="N64" t="inlineStr">
        <is>
          <t>Розе — Табия — Розовое сухое</t>
        </is>
      </c>
      <c r="O64" t="inlineStr">
        <is>
          <t>Олег — Табия — Белое сухое</t>
        </is>
      </c>
      <c r="P64" t="inlineStr">
        <is>
          <t>Буковинка — Табия — Белое полусухое</t>
        </is>
      </c>
      <c r="Q64" t="inlineStr">
        <is>
          <t>Розовое золото — Табия — Розовое полусухое</t>
        </is>
      </c>
      <c r="R64" t="inlineStr">
        <is>
          <t>Рубин Голодриги  — Табия — Красное сухое</t>
        </is>
      </c>
    </row>
    <row r="65">
      <c r="A65" t="inlineStr">
        <is>
          <t>96.15_22-08-2026_20-56-09.webp</t>
        </is>
      </c>
      <c r="B65" t="inlineStr">
        <is>
          <t>уверенно</t>
        </is>
      </c>
      <c r="C65" t="inlineStr">
        <is>
          <t>roze-2</t>
        </is>
      </c>
      <c r="D65" t="inlineStr">
        <is>
          <t>Розе — Табия — Розовое сухое</t>
        </is>
      </c>
      <c r="F65" t="inlineStr">
        <is>
          <t>roze-2</t>
        </is>
      </c>
      <c r="G65" t="inlineStr">
        <is>
          <t>rozovoe-zoloto</t>
        </is>
      </c>
      <c r="H65" t="inlineStr">
        <is>
          <t>bukovinka</t>
        </is>
      </c>
      <c r="I65" t="inlineStr">
        <is>
          <t>rubin-golodrigi</t>
        </is>
      </c>
      <c r="J65" t="inlineStr">
        <is>
          <t>oleg</t>
        </is>
      </c>
      <c r="K65">
        <f>IF(C65="","",IFERROR(MATCH(C65,F65:J65,0),"нет"))</f>
        <v/>
      </c>
      <c r="L65">
        <f>IF(C65="","",IF(K65=1,1,0))</f>
        <v/>
      </c>
      <c r="M65">
        <f>IF(C65="","",IF(ISNUMBER(K65),1,0))</f>
        <v/>
      </c>
      <c r="N65" t="inlineStr">
        <is>
          <t>Розе — Табия — Розовое сухое</t>
        </is>
      </c>
      <c r="O65" t="inlineStr">
        <is>
          <t>Розовое золото — Табия — Розовое полусухое</t>
        </is>
      </c>
      <c r="P65" t="inlineStr">
        <is>
          <t>Буковинка — Табия — Белое полусухое</t>
        </is>
      </c>
      <c r="Q65" t="inlineStr">
        <is>
          <t>Рубин Голодриги  — Табия — Красное сухое</t>
        </is>
      </c>
      <c r="R65" t="inlineStr">
        <is>
          <t>Олег — Табия — Белое сухое</t>
        </is>
      </c>
    </row>
    <row r="66">
      <c r="A66" t="inlineStr">
        <is>
          <t>96.27_20-08-2026_16-26-30.webp</t>
        </is>
      </c>
      <c r="B66" t="inlineStr">
        <is>
          <t>уверенно</t>
        </is>
      </c>
      <c r="C66" t="inlineStr">
        <is>
          <t>zhemchuzhnaya-9-pino-nuar-muskat-rozovyj-1</t>
        </is>
      </c>
      <c r="D66" t="inlineStr">
        <is>
          <t>Жемчужная 9 Пино Нуар, Мускат розовый — АРАТТИ — Розовое полусухое</t>
        </is>
      </c>
      <c r="F66" t="inlineStr">
        <is>
          <t>zhemchuzhnaya-9-pino-nuar-muskat-rozovyj-1</t>
        </is>
      </c>
      <c r="G66" t="inlineStr">
        <is>
          <t>zhemchuzhnaya-9-pino-nuar-muskat-rozovyj</t>
        </is>
      </c>
      <c r="H66" t="inlineStr">
        <is>
          <t>zhemchuzhnaya-9-pino-nuar-muskat-rozovyj-2</t>
        </is>
      </c>
      <c r="I66" t="inlineStr">
        <is>
          <t>zhemchuzhnaya-9-muskat-rozovyj-pino-gri</t>
        </is>
      </c>
      <c r="J66" t="inlineStr">
        <is>
          <t>zhemchuzhnaya-9-muskat-rozovyj-kaberne-sovinon</t>
        </is>
      </c>
      <c r="K66">
        <f>IF(C66="","",IFERROR(MATCH(C66,F66:J66,0),"нет"))</f>
        <v/>
      </c>
      <c r="L66">
        <f>IF(C66="","",IF(K66=1,1,0))</f>
        <v/>
      </c>
      <c r="M66">
        <f>IF(C66="","",IF(ISNUMBER(K66),1,0))</f>
        <v/>
      </c>
      <c r="N66" t="inlineStr">
        <is>
          <t>Жемчужная 9 Пино Нуар, Мускат розовый — АРАТТИ — Розовое полусухое</t>
        </is>
      </c>
      <c r="O66" t="inlineStr">
        <is>
          <t>Жемчужная 9 Пино Нуар, Мускат Розовый — АРАТТИ — Розовое сухое</t>
        </is>
      </c>
      <c r="P66" t="inlineStr">
        <is>
          <t>Жемчужная 9 Пино нуар, Мускат Розовый — АРАТТИ — Розовое полусладкое</t>
        </is>
      </c>
      <c r="Q66" t="inlineStr">
        <is>
          <t>Жемчужная 9 Мускат Розовый, Пино гри — АРАТТИ — Розовое сухое</t>
        </is>
      </c>
      <c r="R66" t="inlineStr">
        <is>
          <t>Жемчужная 9 Мускат Розовый, Каберне Совиньон — АРАТТИ — Розовое полусладкое</t>
        </is>
      </c>
    </row>
    <row r="67">
      <c r="A67" t="inlineStr">
        <is>
          <t>96.29_21-08-2026_19-39-02.webp</t>
        </is>
      </c>
      <c r="B67" t="inlineStr">
        <is>
          <t>не уверен</t>
        </is>
      </c>
      <c r="C67" t="inlineStr">
        <is>
          <t>denisov-winery-sovinon-blan-beloe-suhoe-115</t>
        </is>
      </c>
      <c r="D67" t="inlineStr">
        <is>
          <t>Совиньон Блан — Denisov Winery — Белое сухое</t>
        </is>
      </c>
      <c r="E67" t="inlineStr">
        <is>
          <t>этикетка немного другая. в slug черная, а на фото белая</t>
        </is>
      </c>
      <c r="F67" t="inlineStr">
        <is>
          <t>denisov-winery-sovinon-blan-beloe-suhoe-115</t>
        </is>
      </c>
      <c r="G67" t="inlineStr">
        <is>
          <t>dubinin-winery-sovinon-blan-beloe-suhoe-12</t>
        </is>
      </c>
      <c r="H67" t="inlineStr">
        <is>
          <t>blagolyubov-sovinon-blan-beloe-suhoe-125</t>
        </is>
      </c>
      <c r="I67" t="inlineStr">
        <is>
          <t>zhemchuzhnaya-9-sovinon-blan-aligote</t>
        </is>
      </c>
      <c r="J67" t="inlineStr">
        <is>
          <t>vinodelnya-myshako-sovinon-blan-avtorskaya-tehnologiya-mono-beloe-suhoe-128</t>
        </is>
      </c>
      <c r="K67">
        <f>IF(C67="","",IFERROR(MATCH(C67,F67:J67,0),"нет"))</f>
        <v/>
      </c>
      <c r="L67">
        <f>IF(C67="","",IF(K67=1,1,0))</f>
        <v/>
      </c>
      <c r="M67">
        <f>IF(C67="","",IF(ISNUMBER(K67),1,0))</f>
        <v/>
      </c>
      <c r="N67" t="inlineStr">
        <is>
          <t>Совиньон Блан — Denisov Winery — Белое сухое</t>
        </is>
      </c>
      <c r="O67" t="inlineStr">
        <is>
          <t>Совиньон Блан — Dubinin Winery — Белое сухое</t>
        </is>
      </c>
      <c r="P67" t="inlineStr">
        <is>
          <t>Совиньон Блан — Благолюбов — Белое сухое</t>
        </is>
      </c>
      <c r="Q67" t="inlineStr">
        <is>
          <t>Жемчужная 9 Совиньон блан, Алиготе — АРАТТИ — Белое сухое</t>
        </is>
      </c>
      <c r="R67" t="inlineStr">
        <is>
          <t>Совиньон Блан. Авторская технология. Моно — Мысхако — Белое сухое</t>
        </is>
      </c>
    </row>
    <row r="68">
      <c r="A68" t="inlineStr">
        <is>
          <t>96.2_28-08-2026_09-13-27.webp</t>
        </is>
      </c>
      <c r="B68" t="inlineStr">
        <is>
          <t>нет в каталоге</t>
        </is>
      </c>
      <c r="F68" t="inlineStr">
        <is>
          <t>usadba-divnomorskoe-yuzhnyy-les-merlo-krasnoe-suhoe-137</t>
        </is>
      </c>
      <c r="G68" t="inlineStr">
        <is>
          <t>usadba-divnomorskoe-solnechnyy-veter-shardone-beloe-suhoe-125</t>
        </is>
      </c>
      <c r="H68" t="inlineStr">
        <is>
          <t>usadba-divnomorskoe-solist-marselan-rozovoe-suhoe-115</t>
        </is>
      </c>
      <c r="I68" t="inlineStr">
        <is>
          <t>usadba-divnomorskoe-holodnyy-tuman-risling-beloe-suhoe-115</t>
        </is>
      </c>
      <c r="J68" t="inlineStr">
        <is>
          <t>vinodelnya-vedernikov-vedernikov-tsimlyanskiy-chyornyy-tsimlyanskiy-chernyy-krasnoe-suhoe-14</t>
        </is>
      </c>
      <c r="K68">
        <f>IF(C68="","",IFERROR(MATCH(C68,F68:J68,0),"нет"))</f>
        <v/>
      </c>
      <c r="L68">
        <f>IF(C68="","",IF(K68=1,1,0))</f>
        <v/>
      </c>
      <c r="M68">
        <f>IF(C68="","",IF(ISNUMBER(K68),1,0))</f>
        <v/>
      </c>
      <c r="N68" t="inlineStr">
        <is>
          <t>Южный Лес — Усадьба Дивноморское — Красное сухое</t>
        </is>
      </c>
      <c r="O68" t="inlineStr">
        <is>
          <t>Солнечный Ветер — Усадьба Дивноморское — Белое сухое</t>
        </is>
      </c>
      <c r="P68" t="inlineStr">
        <is>
          <t>Солист — Усадьба Дивноморское — Розовое сухое</t>
        </is>
      </c>
      <c r="Q68" t="inlineStr">
        <is>
          <t>Холодный Туман — Усадьба Дивноморское — Белое сухое</t>
        </is>
      </c>
      <c r="R68" t="inlineStr">
        <is>
          <t>Ведерниковъ Цимлянский Чёрный — Ведерниковъ — Красное сухое</t>
        </is>
      </c>
    </row>
    <row r="69">
      <c r="A69" t="inlineStr">
        <is>
          <t>96.2_28-08-2026_19-25-29.webp</t>
        </is>
      </c>
      <c r="B69" t="inlineStr">
        <is>
          <t>нет в каталоге</t>
        </is>
      </c>
      <c r="F69" t="inlineStr">
        <is>
          <t>novyy-svet-dom-shampanskih-vin-rossiyskoe-shampanskoe-kollektsionnoe-bryut-beloe-novyy-svet-yubileynoe-risling-13</t>
        </is>
      </c>
      <c r="G69" t="inlineStr">
        <is>
          <t>derbent-vino-graf-vorontsov-beloe-polusladkoe-sovinon-blan-105-125</t>
        </is>
      </c>
      <c r="H69" t="inlineStr">
        <is>
          <t>novyy-svet-dom-shampanskih-vin-rossiyskoe-shampanskoe-kollektsionnoe-bryut-beloe-novyy-svet-zolotoy-risling-suhoe-13</t>
        </is>
      </c>
      <c r="I69" t="inlineStr">
        <is>
          <t>derbent-vino-graf-vorontsov-bryut-beloe-sovinon-blan-105-125</t>
        </is>
      </c>
      <c r="J69" t="inlineStr">
        <is>
          <t>derbent-vino-graf-vorontsov-bryut-rozovoe-pervenets-magaracha-105-125</t>
        </is>
      </c>
      <c r="K69">
        <f>IF(C69="","",IFERROR(MATCH(C69,F69:J69,0),"нет"))</f>
        <v/>
      </c>
      <c r="L69">
        <f>IF(C69="","",IF(K69=1,1,0))</f>
        <v/>
      </c>
      <c r="M69">
        <f>IF(C69="","",IF(ISNUMBER(K69),1,0))</f>
        <v/>
      </c>
      <c r="N69" t="inlineStr">
        <is>
          <t>Российское шампанское коллекционное брют белое «Новый Свет. Юбилейное» — Новый Свет. Дом шампанских вин — Белое брют</t>
        </is>
      </c>
      <c r="O69" t="inlineStr">
        <is>
          <t>Граф Воронцов. Белое полусладкое — Дербент Вино — Белое полусладкое</t>
        </is>
      </c>
      <c r="P69" t="inlineStr">
        <is>
          <t>Российское шампанское коллекционное брют белое «Новый Свет. Золотой Рислинг» — Новый Свет. Дом шампанских вин — Белое сухое</t>
        </is>
      </c>
      <c r="Q69" t="inlineStr">
        <is>
          <t>Граф Воронцов. Брют белое — Дербент Вино — Белое брют</t>
        </is>
      </c>
      <c r="R69" t="inlineStr">
        <is>
          <t>Граф Воронцов. Брют розовое — Дербент Вино — Розовое брют</t>
        </is>
      </c>
    </row>
    <row r="70">
      <c r="A70" t="inlineStr">
        <is>
          <t>96.31_09-09-2026_19-29-01.webp</t>
        </is>
      </c>
      <c r="B70" t="inlineStr">
        <is>
          <t>уверенно</t>
        </is>
      </c>
      <c r="C70" t="inlineStr">
        <is>
          <t>aratti-kaberne-po-belomu</t>
        </is>
      </c>
      <c r="D70" t="inlineStr">
        <is>
          <t>АРАТТИ Каберне по-белому — АРАТТИ — Красное сухое</t>
        </is>
      </c>
      <c r="F70" t="inlineStr">
        <is>
          <t>aratti-kaberne-po-belomu-1</t>
        </is>
      </c>
      <c r="G70" t="inlineStr">
        <is>
          <t>aratti-kaberne-po-belomu</t>
        </is>
      </c>
      <c r="H70" t="inlineStr">
        <is>
          <t>aratti-vremena-goda-saperavi-leto</t>
        </is>
      </c>
      <c r="I70" t="inlineStr">
        <is>
          <t>aratti-kaberne-sovinon-2021-krasnoe-suhoe</t>
        </is>
      </c>
      <c r="J70" t="inlineStr">
        <is>
          <t>aratti-shardone-beloe-suhoe</t>
        </is>
      </c>
      <c r="K70">
        <f>IF(C70="","",IFERROR(MATCH(C70,F70:J70,0),"нет"))</f>
        <v/>
      </c>
      <c r="L70">
        <f>IF(C70="","",IF(K70=1,1,0))</f>
        <v/>
      </c>
      <c r="M70">
        <f>IF(C70="","",IF(ISNUMBER(K70),1,0))</f>
        <v/>
      </c>
      <c r="N70" t="inlineStr">
        <is>
          <t>АРАТТИ Каберне по-белому — АРАТТИ — Розовое полусухое</t>
        </is>
      </c>
      <c r="O70" t="inlineStr">
        <is>
          <t>АРАТТИ Каберне по-белому — АРАТТИ — Красное сухое</t>
        </is>
      </c>
      <c r="P70" t="inlineStr">
        <is>
          <t>АРАТТИ Времена Года Саперави Лето — АРАТТИ — Красное сухое</t>
        </is>
      </c>
      <c r="Q70" t="inlineStr">
        <is>
          <t>АРАТТИ Каберне Совиньон 2021 красное сухое — АРАТТИ — Красное сухое</t>
        </is>
      </c>
      <c r="R70" t="inlineStr">
        <is>
          <t>АРАТТИ Шардоне белое сухое — АРАТТИ — Белое сухое</t>
        </is>
      </c>
    </row>
    <row r="71">
      <c r="A71" t="inlineStr">
        <is>
          <t>96.31_21-08-2026_17-24-55.webp</t>
        </is>
      </c>
      <c r="B71" t="inlineStr">
        <is>
          <t>уверенно</t>
        </is>
      </c>
      <c r="C71" t="inlineStr">
        <is>
          <t>bukovinka</t>
        </is>
      </c>
      <c r="D71" t="inlineStr">
        <is>
          <t>Буковинка — Табия — Белое полусухое</t>
        </is>
      </c>
      <c r="F71" t="inlineStr">
        <is>
          <t>bukovinka</t>
        </is>
      </c>
      <c r="G71" t="inlineStr">
        <is>
          <t>rubin-golodrigi</t>
        </is>
      </c>
      <c r="H71" t="inlineStr">
        <is>
          <t>kaberne-sovinon-2</t>
        </is>
      </c>
      <c r="I71" t="inlineStr">
        <is>
          <t>oleg</t>
        </is>
      </c>
      <c r="J71" t="inlineStr">
        <is>
          <t>rozovoe-zoloto</t>
        </is>
      </c>
      <c r="K71">
        <f>IF(C71="","",IFERROR(MATCH(C71,F71:J71,0),"нет"))</f>
        <v/>
      </c>
      <c r="L71">
        <f>IF(C71="","",IF(K71=1,1,0))</f>
        <v/>
      </c>
      <c r="M71">
        <f>IF(C71="","",IF(ISNUMBER(K71),1,0))</f>
        <v/>
      </c>
      <c r="N71" t="inlineStr">
        <is>
          <t>Буковинка — Табия — Белое полусухое</t>
        </is>
      </c>
      <c r="O71" t="inlineStr">
        <is>
          <t>Рубин Голодриги  — Табия — Красное сухое</t>
        </is>
      </c>
      <c r="P71" t="inlineStr">
        <is>
          <t>Каберне Совиньон — Табия — Красное сухое</t>
        </is>
      </c>
      <c r="Q71" t="inlineStr">
        <is>
          <t>Олег — Табия — Белое сухое</t>
        </is>
      </c>
      <c r="R71" t="inlineStr">
        <is>
          <t>Розовое золото — Табия — Розовое полусухое</t>
        </is>
      </c>
    </row>
    <row r="72">
      <c r="A72" t="inlineStr">
        <is>
          <t>96.3_08-09-2026_10-53-14.webp</t>
        </is>
      </c>
      <c r="B72" t="inlineStr">
        <is>
          <t>нет в каталоге</t>
        </is>
      </c>
      <c r="F72" t="inlineStr">
        <is>
          <t>rozovoe-polusladkoe</t>
        </is>
      </c>
      <c r="G72" t="inlineStr">
        <is>
          <t>fanagoriya-beloe-polusladkoe</t>
        </is>
      </c>
      <c r="H72" t="inlineStr">
        <is>
          <t>fanagoriya-zelyonoe-vino-risling-tsitronnyy-magaracha-merlo-rozovoe-polusuhoe-11</t>
        </is>
      </c>
      <c r="I72" t="inlineStr">
        <is>
          <t>fanagoriya-zelyonoe-vino-risling-tsitronnyy-magaracha-beloe-polusuhoe-11</t>
        </is>
      </c>
      <c r="J72" t="inlineStr">
        <is>
          <t>vinodelnya-pokrovskaya-risling-pokrovskoe-risling-reynskiy-beloe-suhoe-13</t>
        </is>
      </c>
      <c r="K72">
        <f>IF(C72="","",IFERROR(MATCH(C72,F72:J72,0),"нет"))</f>
        <v/>
      </c>
      <c r="L72">
        <f>IF(C72="","",IF(K72=1,1,0))</f>
        <v/>
      </c>
      <c r="M72">
        <f>IF(C72="","",IF(ISNUMBER(K72),1,0))</f>
        <v/>
      </c>
      <c r="N72" t="inlineStr">
        <is>
          <t>Розовое полусладкое — Фанагория — Розовое полусладкое</t>
        </is>
      </c>
      <c r="O72" t="inlineStr">
        <is>
          <t>Фанагория белое полусладкое — Фанагория — Белое полусладкое</t>
        </is>
      </c>
      <c r="P72" t="inlineStr">
        <is>
          <t>Зелёное вино. Рислинг - Цитронный Магарача - Мерло — Фанагория — Розовое полусухое</t>
        </is>
      </c>
      <c r="Q72" t="inlineStr">
        <is>
          <t>Зелёное вино. Рислинг - Цитронный Магарача — Фанагория — Белое полусухое</t>
        </is>
      </c>
      <c r="R72" t="inlineStr">
        <is>
          <t>Рислинг. Покровское — Винодельня Покровская — Белое сухое</t>
        </is>
      </c>
    </row>
    <row r="73">
      <c r="A73" t="inlineStr">
        <is>
          <t>96.3_28-08-2026_09-12-56.webp</t>
        </is>
      </c>
      <c r="B73" t="inlineStr">
        <is>
          <t>нет в каталоге</t>
        </is>
      </c>
      <c r="F73" t="inlineStr">
        <is>
          <t>usadba-divnomorskoe-yuzhnyy-les-merlo-krasnoe-suhoe-137</t>
        </is>
      </c>
      <c r="G73" t="inlineStr">
        <is>
          <t>usadba-divnomorskoe-solist-marselan-rozovoe-suhoe-115</t>
        </is>
      </c>
      <c r="H73" t="inlineStr">
        <is>
          <t>usadba-divnomorskoe-solnechnyy-veter-shardone-beloe-suhoe-125</t>
        </is>
      </c>
      <c r="I73" t="inlineStr">
        <is>
          <t>usadba-divnomorskoe-holodnyy-tuman-risling-beloe-suhoe-115</t>
        </is>
      </c>
      <c r="J73" t="inlineStr">
        <is>
          <t>vinodelnya-vedernikov-vedernikov-krasnostop-zolotovskiy-magnum-krasnoe-suhoe-145</t>
        </is>
      </c>
      <c r="K73">
        <f>IF(C73="","",IFERROR(MATCH(C73,F73:J73,0),"нет"))</f>
        <v/>
      </c>
      <c r="L73">
        <f>IF(C73="","",IF(K73=1,1,0))</f>
        <v/>
      </c>
      <c r="M73">
        <f>IF(C73="","",IF(ISNUMBER(K73),1,0))</f>
        <v/>
      </c>
      <c r="N73" t="inlineStr">
        <is>
          <t>Южный Лес — Усадьба Дивноморское — Красное сухое</t>
        </is>
      </c>
      <c r="O73" t="inlineStr">
        <is>
          <t>Солист — Усадьба Дивноморское — Розовое сухое</t>
        </is>
      </c>
      <c r="P73" t="inlineStr">
        <is>
          <t>Солнечный Ветер — Усадьба Дивноморское — Белое сухое</t>
        </is>
      </c>
      <c r="Q73" t="inlineStr">
        <is>
          <t>Холодный Туман — Усадьба Дивноморское — Белое сухое</t>
        </is>
      </c>
      <c r="R73" t="inlineStr">
        <is>
          <t>Ведерниковъ Красностоп Золотовский (магнум) — Ведерниковъ — Красное сухое</t>
        </is>
      </c>
    </row>
    <row r="74">
      <c r="A74" t="inlineStr">
        <is>
          <t>96.42_22-08-2026_21-29-43.webp</t>
        </is>
      </c>
      <c r="B74" t="inlineStr">
        <is>
          <t>нет в каталоге</t>
        </is>
      </c>
      <c r="F74" t="inlineStr">
        <is>
          <t>abrau-dyurso-udelnoe-vedomstvo-imperatorskoe-beloe-bryut</t>
        </is>
      </c>
      <c r="G74" t="inlineStr">
        <is>
          <t>abrau-dyurso-imperatorskoe-bryut-shardone-beloe-12</t>
        </is>
      </c>
      <c r="H74" t="inlineStr">
        <is>
          <t>abrau-dyurso-imperial-brut-vintage-shardone-beloe-bryut-12</t>
        </is>
      </c>
      <c r="I74" t="inlineStr">
        <is>
          <t>abrau-dyurso-imperial-brut-lart-nouveau-shardone-beloe-bryut-105</t>
        </is>
      </c>
      <c r="J74" t="inlineStr">
        <is>
          <t>abrau-dyurso-imperial-kyuve-pino-nuar-rozovoe-bryut-125</t>
        </is>
      </c>
      <c r="K74">
        <f>IF(C74="","",IFERROR(MATCH(C74,F74:J74,0),"нет"))</f>
        <v/>
      </c>
      <c r="L74">
        <f>IF(C74="","",IF(K74=1,1,0))</f>
        <v/>
      </c>
      <c r="M74">
        <f>IF(C74="","",IF(ISNUMBER(K74),1,0))</f>
        <v/>
      </c>
      <c r="N74" t="inlineStr">
        <is>
          <t>Абрау Дюрсо Удельное Ведомство Императорское белое брют — Абрау-Дюрсо — Белое брют</t>
        </is>
      </c>
      <c r="O74" t="inlineStr">
        <is>
          <t>Императорское брют — Абрау-Дюрсо — Белое брют</t>
        </is>
      </c>
      <c r="P74" t="inlineStr">
        <is>
          <t>Империал. Brut Vintage — Абрау-Дюрсо — Белое брют</t>
        </is>
      </c>
      <c r="Q74" t="inlineStr">
        <is>
          <t>Империал Brut L'Art Nouveau — Абрау-Дюрсо — Белое брют</t>
        </is>
      </c>
      <c r="R74" t="inlineStr">
        <is>
          <t>Империал Кюве — Абрау-Дюрсо — Розовое брют</t>
        </is>
      </c>
    </row>
    <row r="75">
      <c r="A75" t="inlineStr">
        <is>
          <t>96.44_05-09-2026_15-33-59.webp</t>
        </is>
      </c>
      <c r="B75" t="inlineStr">
        <is>
          <t>уверенно</t>
        </is>
      </c>
      <c r="C75" t="inlineStr">
        <is>
          <t>sovinon-blan</t>
        </is>
      </c>
      <c r="D75" t="inlineStr">
        <is>
          <t>Совиньон Блан — Литавщук. Litavshchuk vineyards &amp; winery — Белое полусладкое</t>
        </is>
      </c>
      <c r="F75" t="inlineStr">
        <is>
          <t>sovinon-blan</t>
        </is>
      </c>
      <c r="G75" t="inlineStr">
        <is>
          <t>blagolyubov-sovinon-blan-beloe-suhoe-125</t>
        </is>
      </c>
      <c r="H75" t="inlineStr">
        <is>
          <t>dubinin-winery-sovinon-blan-beloe-suhoe-12</t>
        </is>
      </c>
      <c r="I75" t="inlineStr">
        <is>
          <t>sovinon-blan-krasnaya-gorka</t>
        </is>
      </c>
      <c r="J75" t="inlineStr">
        <is>
          <t>orlov_sauvignon_blan</t>
        </is>
      </c>
      <c r="K75">
        <f>IF(C75="","",IFERROR(MATCH(C75,F75:J75,0),"нет"))</f>
        <v/>
      </c>
      <c r="L75">
        <f>IF(C75="","",IF(K75=1,1,0))</f>
        <v/>
      </c>
      <c r="M75">
        <f>IF(C75="","",IF(ISNUMBER(K75),1,0))</f>
        <v/>
      </c>
      <c r="N75" t="inlineStr">
        <is>
          <t>Совиньон Блан — Литавщук. Litavshchuk vineyards &amp; winery — Белое полусладкое</t>
        </is>
      </c>
      <c r="O75" t="inlineStr">
        <is>
          <t>Совиньон Блан — Благолюбов — Белое сухое</t>
        </is>
      </c>
      <c r="P75" t="inlineStr">
        <is>
          <t>Совиньон Блан — Dubinin Winery — Белое сухое</t>
        </is>
      </c>
      <c r="Q75" t="inlineStr">
        <is>
          <t>Совиньон Блан — Галицкий и Галицкий — Белое сухое</t>
        </is>
      </c>
      <c r="R75" t="inlineStr">
        <is>
          <t>Совиньон Блан — Винодельня Орлова — Белое сухое</t>
        </is>
      </c>
    </row>
    <row r="76">
      <c r="A76" t="inlineStr">
        <is>
          <t>96.45_02-09-2026_14-19-06.webp</t>
        </is>
      </c>
      <c r="B76" t="inlineStr">
        <is>
          <t>нет в каталоге</t>
        </is>
      </c>
      <c r="F76" t="inlineStr">
        <is>
          <t>abrau-dyurso-imperial-brut-rose-pino-nuar-rozovoe-bryut-12</t>
        </is>
      </c>
      <c r="G76" t="inlineStr">
        <is>
          <t>abrau-dyurso-udelnoe-vedomstvo-imperatorskoe-beloe-bryut</t>
        </is>
      </c>
      <c r="H76" t="inlineStr">
        <is>
          <t>abrau-dyurso-victor-dravigny-brut-rose-pino-nuar-rozovoe-bryut-12</t>
        </is>
      </c>
      <c r="I76" t="inlineStr">
        <is>
          <t>abrau-dyurso-udelnoe-vedomstvo-imperatorskoe-beloe-polusladkoe</t>
        </is>
      </c>
      <c r="J76" t="inlineStr">
        <is>
          <t>abrau-dyurso-russkoe-igristoe-polusladkoe-krasnoe-kaberne-sovinon-12</t>
        </is>
      </c>
      <c r="K76">
        <f>IF(C76="","",IFERROR(MATCH(C76,F76:J76,0),"нет"))</f>
        <v/>
      </c>
      <c r="L76">
        <f>IF(C76="","",IF(K76=1,1,0))</f>
        <v/>
      </c>
      <c r="M76">
        <f>IF(C76="","",IF(ISNUMBER(K76),1,0))</f>
        <v/>
      </c>
      <c r="N76" t="inlineStr">
        <is>
          <t>Империал Brut Rose — Абрау-Дюрсо — Розовое брют</t>
        </is>
      </c>
      <c r="O76" t="inlineStr">
        <is>
          <t>Абрау Дюрсо Удельное Ведомство Императорское белое брют — Абрау-Дюрсо — Белое брют</t>
        </is>
      </c>
      <c r="P76" t="inlineStr">
        <is>
          <t>Victor Dravigny. Brut Rose — Абрау-Дюрсо — Розовое брют</t>
        </is>
      </c>
      <c r="Q76" t="inlineStr">
        <is>
          <t>Абрау Дюрсо Удельное Ведомство Императорское белое полусладкое — Абрау-Дюрсо — Белое полусладкое</t>
        </is>
      </c>
      <c r="R76" t="inlineStr">
        <is>
          <t>Русское Игристое полусладкое красное — Абрау-Дюрсо — Красное полусладкое</t>
        </is>
      </c>
    </row>
    <row r="77">
      <c r="A77" t="inlineStr">
        <is>
          <t>96.45_19-08-2026_19-35-28.webp</t>
        </is>
      </c>
      <c r="B77" t="inlineStr">
        <is>
          <t>не уверен</t>
        </is>
      </c>
      <c r="C77" t="inlineStr">
        <is>
          <t>czitronnyj-magaracha</t>
        </is>
      </c>
      <c r="D77" t="inlineStr">
        <is>
          <t>Цитрон — Табия — Белое сухое</t>
        </is>
      </c>
      <c r="E77" t="inlineStr">
        <is>
          <t>в slug сухое, а нужно полусухое, но полусухого нет</t>
        </is>
      </c>
      <c r="F77" t="inlineStr">
        <is>
          <t>czitronnyj-magaracha</t>
        </is>
      </c>
      <c r="G77" t="inlineStr">
        <is>
          <t>risling-1</t>
        </is>
      </c>
      <c r="H77" t="inlineStr">
        <is>
          <t>rubin-golodrigi</t>
        </is>
      </c>
      <c r="I77" t="inlineStr">
        <is>
          <t>oleg</t>
        </is>
      </c>
      <c r="J77" t="inlineStr">
        <is>
          <t>bukovinka</t>
        </is>
      </c>
      <c r="K77">
        <f>IF(C77="","",IFERROR(MATCH(C77,F77:J77,0),"нет"))</f>
        <v/>
      </c>
      <c r="L77">
        <f>IF(C77="","",IF(K77=1,1,0))</f>
        <v/>
      </c>
      <c r="M77">
        <f>IF(C77="","",IF(ISNUMBER(K77),1,0))</f>
        <v/>
      </c>
      <c r="N77" t="inlineStr">
        <is>
          <t>Цитрон — Табия — Белое сухое</t>
        </is>
      </c>
      <c r="O77" t="inlineStr">
        <is>
          <t>Рислинг — Табия — Белое полусухое</t>
        </is>
      </c>
      <c r="P77" t="inlineStr">
        <is>
          <t>Рубин Голодриги  — Табия — Красное сухое</t>
        </is>
      </c>
      <c r="Q77" t="inlineStr">
        <is>
          <t>Олег — Табия — Белое сухое</t>
        </is>
      </c>
      <c r="R77" t="inlineStr">
        <is>
          <t>Буковинка — Табия — Белое полусухое</t>
        </is>
      </c>
    </row>
    <row r="78">
      <c r="A78" t="inlineStr">
        <is>
          <t>96.53_03-09-2026_16-39-17.webp</t>
        </is>
      </c>
      <c r="B78" t="inlineStr">
        <is>
          <t>нет в каталоге</t>
        </is>
      </c>
      <c r="F78" t="inlineStr">
        <is>
          <t>rozovoe-polusladkoe</t>
        </is>
      </c>
      <c r="G78" t="inlineStr">
        <is>
          <t>fanagoriya-beloe-polusladkoe</t>
        </is>
      </c>
      <c r="H78" t="inlineStr">
        <is>
          <t>fanagoriya-fanagoriya-blanc-de-blancs-beloe-iz-belogo-shardone-igristoe-bryut-beloe-11-13</t>
        </is>
      </c>
      <c r="I78" t="inlineStr">
        <is>
          <t>fanagoriya-zelyonoe-vino-risling-tsitronnyy-magaracha-merlo-rozovoe-polusuhoe-11</t>
        </is>
      </c>
      <c r="J78" t="inlineStr">
        <is>
          <t>fanagoriya-fanagoria-extra-brut-rose-2019-pino-nuar-igristoe-bryut-rozovoe-ekstra-bryut-12</t>
        </is>
      </c>
      <c r="K78">
        <f>IF(C78="","",IFERROR(MATCH(C78,F78:J78,0),"нет"))</f>
        <v/>
      </c>
      <c r="L78">
        <f>IF(C78="","",IF(K78=1,1,0))</f>
        <v/>
      </c>
      <c r="M78">
        <f>IF(C78="","",IF(ISNUMBER(K78),1,0))</f>
        <v/>
      </c>
      <c r="N78" t="inlineStr">
        <is>
          <t>Розовое полусладкое — Фанагория — Розовое полусладкое</t>
        </is>
      </c>
      <c r="O78" t="inlineStr">
        <is>
          <t>Фанагория белое полусладкое — Фанагория — Белое полусладкое</t>
        </is>
      </c>
      <c r="P78" t="inlineStr">
        <is>
          <t>Фанагория. Blanc de Blancs. Белое из белого — Фанагория — Белое брют</t>
        </is>
      </c>
      <c r="Q78" t="inlineStr">
        <is>
          <t>Зелёное вино. Рислинг - Цитронный Магарача - Мерло — Фанагория — Розовое полусухое</t>
        </is>
      </c>
      <c r="R78" t="inlineStr">
        <is>
          <t>Fanagoria Extra Brut Rose 2019 — Фанагория — Розовое экстра брют</t>
        </is>
      </c>
    </row>
    <row r="79">
      <c r="A79" t="inlineStr">
        <is>
          <t>96.54_04-09-2026_19-30-52.webp</t>
        </is>
      </c>
      <c r="B79" t="inlineStr">
        <is>
          <t>уверенно</t>
        </is>
      </c>
      <c r="C79" t="inlineStr">
        <is>
          <t>denisov-winery-risling-beloe-suhoe-115</t>
        </is>
      </c>
      <c r="D79" t="inlineStr">
        <is>
          <t>Рислинг — Denisov Winery — Белое сухое</t>
        </is>
      </c>
      <c r="F79" t="inlineStr">
        <is>
          <t>denisov-winery-risling-beloe-suhoe-115</t>
        </is>
      </c>
      <c r="G79" t="inlineStr">
        <is>
          <t>dubinin-winery-risling-beloe-suhoe-12</t>
        </is>
      </c>
      <c r="H79" t="inlineStr">
        <is>
          <t>vinodelnya-78-aligote-otbornoe-beloe-suhoe-12</t>
        </is>
      </c>
      <c r="I79" t="inlineStr">
        <is>
          <t>risling-2</t>
        </is>
      </c>
      <c r="J79" t="inlineStr">
        <is>
          <t>belbek-rkatsiteli-barrik-beloe-suhoe-13</t>
        </is>
      </c>
      <c r="K79">
        <f>IF(C79="","",IFERROR(MATCH(C79,F79:J79,0),"нет"))</f>
        <v/>
      </c>
      <c r="L79">
        <f>IF(C79="","",IF(K79=1,1,0))</f>
        <v/>
      </c>
      <c r="M79">
        <f>IF(C79="","",IF(ISNUMBER(K79),1,0))</f>
        <v/>
      </c>
      <c r="N79" t="inlineStr">
        <is>
          <t>Рислинг — Denisov Winery — Белое сухое</t>
        </is>
      </c>
      <c r="O79" t="inlineStr">
        <is>
          <t>Рислинг — Dubinin Winery — Белое сухое</t>
        </is>
      </c>
      <c r="P79" t="inlineStr">
        <is>
          <t>Алиготе Отборное — Винодельня 78 — Белое сухое</t>
        </is>
      </c>
      <c r="Q79" t="inlineStr">
        <is>
          <t>Рислинг  — Литавщук. Litavshchuk vineyards &amp; winery — Белое полусухое</t>
        </is>
      </c>
      <c r="R79" t="inlineStr">
        <is>
          <t>Ркацители Баррик — Бельбек — Белое сухое</t>
        </is>
      </c>
    </row>
    <row r="80">
      <c r="A80" t="inlineStr">
        <is>
          <t>96.55_30-08-2026_19-34-31.webp</t>
        </is>
      </c>
      <c r="B80" t="inlineStr">
        <is>
          <t>уверенно</t>
        </is>
      </c>
      <c r="C80" t="inlineStr">
        <is>
          <t>novyy-svet-dom-shampanskih-vin-novyy-svet-polusladkoe-roze-shardone-rozovoe-115</t>
        </is>
      </c>
      <c r="D80" t="inlineStr">
        <is>
          <t>Новый Свет полусладкое розе — Новый Свет. Дом шампанских вин — Розовое полусладкое</t>
        </is>
      </c>
      <c r="F80" t="inlineStr">
        <is>
          <t>novyy-svet-dom-shampanskih-vin-novyy-svet-polusladkoe-roze-shardone-rozovoe-115</t>
        </is>
      </c>
      <c r="G80" t="inlineStr">
        <is>
          <t>novyj-svet-polusladkoe</t>
        </is>
      </c>
      <c r="H80" t="inlineStr">
        <is>
          <t>novyj-svet-vyderzhannoe-bryut</t>
        </is>
      </c>
      <c r="I80" t="inlineStr">
        <is>
          <t>novyy-svet-dom-shampanskih-vin-rossiyskoe-shampanskoe-vyderzhannoe-polusladkoe-rozovoe-novyy-svet-shardone-125</t>
        </is>
      </c>
      <c r="J80" t="inlineStr">
        <is>
          <t>novyj-svet-polusuhoe-kollekczionnoe</t>
        </is>
      </c>
      <c r="K80">
        <f>IF(C80="","",IFERROR(MATCH(C80,F80:J80,0),"нет"))</f>
        <v/>
      </c>
      <c r="L80">
        <f>IF(C80="","",IF(K80=1,1,0))</f>
        <v/>
      </c>
      <c r="M80">
        <f>IF(C80="","",IF(ISNUMBER(K80),1,0))</f>
        <v/>
      </c>
      <c r="N80" t="inlineStr">
        <is>
          <t>Новый Свет полусладкое розе — Новый Свет. Дом шампанских вин — Розовое полусладкое</t>
        </is>
      </c>
      <c r="O80" t="inlineStr">
        <is>
          <t>Новый Свет полусладкое — Новый Свет. Дом шампанских вин — Белое полусладкое</t>
        </is>
      </c>
      <c r="P80" t="inlineStr">
        <is>
          <t>Новый Свет выдержанное брют — Новый Свет. Дом шампанских вин — Белое брют</t>
        </is>
      </c>
      <c r="Q80" t="inlineStr">
        <is>
          <t>Российское шампанское выдержанное полусладкое розовое «Новый Свет» — Новый Свет. Дом шампанских вин — Розовое полусладкое</t>
        </is>
      </c>
      <c r="R80" t="inlineStr">
        <is>
          <t>Новый Свет полусухое коллекционное — Новый Свет. Дом шампанских вин — Белое полусухое</t>
        </is>
      </c>
    </row>
    <row r="81">
      <c r="A81" t="inlineStr">
        <is>
          <t>96.58_05-09-2026_16-05-04.webp</t>
        </is>
      </c>
      <c r="B81" t="inlineStr">
        <is>
          <t>уверенно</t>
        </is>
      </c>
      <c r="C81" t="inlineStr">
        <is>
          <t>fanagoriya-zelyonoe-vino-risling-tsitronnyy-magaracha-beloe-polusuhoe-11</t>
        </is>
      </c>
      <c r="D81" t="inlineStr">
        <is>
          <t>Зелёное вино. Рислинг - Цитронный Магарача — Фанагория — Белое полусухое</t>
        </is>
      </c>
      <c r="F81" t="inlineStr">
        <is>
          <t>fanagoriya-zelyonoe-vino-risling-tsitronnyy-magaracha-beloe-polusuhoe-11</t>
        </is>
      </c>
      <c r="G81" t="inlineStr">
        <is>
          <t>fanagoriya-zelyonoe-vino-risling-tsitronnyy-magaracha-merlo-rozovoe-polusuhoe-11</t>
        </is>
      </c>
      <c r="H81" t="inlineStr">
        <is>
          <t>fanagoriya-beloe-polusladkoe</t>
        </is>
      </c>
      <c r="I81" t="inlineStr">
        <is>
          <t>rozovoe-polusladkoe</t>
        </is>
      </c>
      <c r="J81" t="inlineStr">
        <is>
          <t>eleonora</t>
        </is>
      </c>
      <c r="K81">
        <f>IF(C81="","",IFERROR(MATCH(C81,F81:J81,0),"нет"))</f>
        <v/>
      </c>
      <c r="L81">
        <f>IF(C81="","",IF(K81=1,1,0))</f>
        <v/>
      </c>
      <c r="M81">
        <f>IF(C81="","",IF(ISNUMBER(K81),1,0))</f>
        <v/>
      </c>
      <c r="N81" t="inlineStr">
        <is>
          <t>Зелёное вино. Рислинг - Цитронный Магарача — Фанагория — Белое полусухое</t>
        </is>
      </c>
      <c r="O81" t="inlineStr">
        <is>
          <t>Зелёное вино. Рислинг - Цитронный Магарача - Мерло — Фанагория — Розовое полусухое</t>
        </is>
      </c>
      <c r="P81" t="inlineStr">
        <is>
          <t>Фанагория белое полусладкое — Фанагория — Белое полусладкое</t>
        </is>
      </c>
      <c r="Q81" t="inlineStr">
        <is>
          <t>Розовое полусладкое — Фанагория — Розовое полусладкое</t>
        </is>
      </c>
      <c r="R81" t="inlineStr">
        <is>
          <t>Eleonora, 2021 — WINEMAFIA — Белое сухое</t>
        </is>
      </c>
    </row>
    <row r="82">
      <c r="A82" t="inlineStr">
        <is>
          <t>96.61_28-08-2026_09-16-27.webp</t>
        </is>
      </c>
      <c r="B82" t="inlineStr">
        <is>
          <t>нет в каталоге</t>
        </is>
      </c>
      <c r="F82" t="inlineStr">
        <is>
          <t>balaklava-muskat-beloe-polusladkoe</t>
        </is>
      </c>
      <c r="G82" t="inlineStr">
        <is>
          <t>balaklava-bryut-rezerv</t>
        </is>
      </c>
      <c r="H82" t="inlineStr">
        <is>
          <t>balaklava-muskat</t>
        </is>
      </c>
      <c r="I82" t="inlineStr">
        <is>
          <t>balaklava-pino-nuar</t>
        </is>
      </c>
      <c r="J82" t="inlineStr">
        <is>
          <t>shardone-balaklava</t>
        </is>
      </c>
      <c r="K82">
        <f>IF(C82="","",IFERROR(MATCH(C82,F82:J82,0),"нет"))</f>
        <v/>
      </c>
      <c r="L82">
        <f>IF(C82="","",IF(K82=1,1,0))</f>
        <v/>
      </c>
      <c r="M82">
        <f>IF(C82="","",IF(ISNUMBER(K82),1,0))</f>
        <v/>
      </c>
      <c r="N82" t="inlineStr">
        <is>
          <t>Балаклава Мускат белое полусладкое — Золотая Балка — Белое полусладкое</t>
        </is>
      </c>
      <c r="O82" t="inlineStr">
        <is>
          <t>Балаклава Брют Резерв — Золотая Балка — Белое брют</t>
        </is>
      </c>
      <c r="P82" t="inlineStr">
        <is>
          <t>Балаклава Мускат — Золотая Балка — Белое брют</t>
        </is>
      </c>
      <c r="Q82" t="inlineStr">
        <is>
          <t>Балаклава Пино Нуар — Золотая Балка — Розовое брют</t>
        </is>
      </c>
      <c r="R82" t="inlineStr">
        <is>
          <t>Шардоне Балаклава  — Золотая Балка — Белое брют</t>
        </is>
      </c>
    </row>
    <row r="83">
      <c r="A83" t="inlineStr">
        <is>
          <t>96.62_07-09-2026_18-12-27.webp</t>
        </is>
      </c>
      <c r="B83" t="inlineStr">
        <is>
          <t>уверенно</t>
        </is>
      </c>
      <c r="C83" t="inlineStr">
        <is>
          <t>fanagoriya-zelyonoe-vino-risling-tsitronnyy-magaracha-beloe-polusuhoe-11</t>
        </is>
      </c>
      <c r="D83" t="inlineStr">
        <is>
          <t>Зелёное вино. Рислинг - Цитронный Магарача — Фанагория — Белое полусухое</t>
        </is>
      </c>
      <c r="F83" t="inlineStr">
        <is>
          <t>fanagoriya-zelyonoe-vino-risling-tsitronnyy-magaracha-beloe-polusuhoe-11</t>
        </is>
      </c>
      <c r="G83" t="inlineStr">
        <is>
          <t>fanagoriya-zelyonoe-vino-risling-tsitronnyy-magaracha-merlo-rozovoe-polusuhoe-11</t>
        </is>
      </c>
      <c r="H83" t="inlineStr">
        <is>
          <t>fanagoriya-100-ottenkov-shardone-beloe-suhoe-14</t>
        </is>
      </c>
      <c r="I83" t="inlineStr">
        <is>
          <t>fanagoriya-beloe-polusladkoe</t>
        </is>
      </c>
      <c r="J83" t="inlineStr">
        <is>
          <t>rozovoe-polusladkoe</t>
        </is>
      </c>
      <c r="K83">
        <f>IF(C83="","",IFERROR(MATCH(C83,F83:J83,0),"нет"))</f>
        <v/>
      </c>
      <c r="L83">
        <f>IF(C83="","",IF(K83=1,1,0))</f>
        <v/>
      </c>
      <c r="M83">
        <f>IF(C83="","",IF(ISNUMBER(K83),1,0))</f>
        <v/>
      </c>
      <c r="N83" t="inlineStr">
        <is>
          <t>Зелёное вино. Рислинг - Цитронный Магарача — Фанагория — Белое полусухое</t>
        </is>
      </c>
      <c r="O83" t="inlineStr">
        <is>
          <t>Зелёное вино. Рислинг - Цитронный Магарача - Мерло — Фанагория — Розовое полусухое</t>
        </is>
      </c>
      <c r="P83" t="inlineStr">
        <is>
          <t>100 оттенков. Шардоне — Фанагория — Белое сухое</t>
        </is>
      </c>
      <c r="Q83" t="inlineStr">
        <is>
          <t>Фанагория белое полусладкое — Фанагория — Белое полусладкое</t>
        </is>
      </c>
      <c r="R83" t="inlineStr">
        <is>
          <t>Розовое полусладкое — Фанагория — Розовое полусладкое</t>
        </is>
      </c>
    </row>
    <row r="84">
      <c r="A84" t="inlineStr">
        <is>
          <t>96.64_26-08-2026_16-52-37.webp</t>
        </is>
      </c>
      <c r="B84" t="inlineStr">
        <is>
          <t>нет в каталоге</t>
        </is>
      </c>
      <c r="F84" t="inlineStr">
        <is>
          <t>valeriy-zaharin-bastardo-kefesiya-avtohtonnoe-vino-kryma-bastardo-magarachskiy-krasnoe-suhoe-115</t>
        </is>
      </c>
      <c r="G84" t="inlineStr">
        <is>
          <t>valeriy-zaharin-avtorskoe-vino-ot-valeriya-zaharina-bastardo-bastardo-magarachskiy-krasnoe-suhoe-12</t>
        </is>
      </c>
      <c r="H84" t="inlineStr">
        <is>
          <t>valeriy-zaharin-avtorskoe-vino-ot-valeriya-zaharina-krasnoe-pino-nuar-suhoe-125</t>
        </is>
      </c>
      <c r="I84" t="inlineStr">
        <is>
          <t>valeriy-zaharin-avtorskoe-vino-ot-valeriya-zaharina-aleatiko-rozovoe-suhoe-115</t>
        </is>
      </c>
      <c r="J84" t="inlineStr">
        <is>
          <t>vinodelnya-begildeeva-kaberne-sovinon-krasnoe-suhoe-14</t>
        </is>
      </c>
      <c r="K84">
        <f>IF(C84="","",IFERROR(MATCH(C84,F84:J84,0),"нет"))</f>
        <v/>
      </c>
      <c r="L84">
        <f>IF(C84="","",IF(K84=1,1,0))</f>
        <v/>
      </c>
      <c r="M84">
        <f>IF(C84="","",IF(ISNUMBER(K84),1,0))</f>
        <v/>
      </c>
      <c r="N84" t="inlineStr">
        <is>
          <t>Бастардо - Кефесия. Автохтонное вино Крыма — Валерий Захарьин — Красное сухое</t>
        </is>
      </c>
      <c r="O84" t="inlineStr">
        <is>
          <t>Авторское вино от Валерия Захарьина. Бастардо — Валерий Захарьин — Красное сухое</t>
        </is>
      </c>
      <c r="P84" t="inlineStr">
        <is>
          <t>Авторское вино от Валерия Захарьина. Красное — Валерий Захарьин — Красное сухое</t>
        </is>
      </c>
      <c r="Q84" t="inlineStr">
        <is>
          <t>Авторское вино от Валерия Захарьина. Алеатико — Валерий Захарьин — Розовое сухое</t>
        </is>
      </c>
      <c r="R84" t="inlineStr">
        <is>
          <t>Каберне Совиньон — Винодельня Бегильдеева — Красное сухое</t>
        </is>
      </c>
    </row>
    <row r="85">
      <c r="A85" t="inlineStr">
        <is>
          <t>96.65_02-09-2026_12-08-51.webp</t>
        </is>
      </c>
      <c r="B85" t="inlineStr">
        <is>
          <t>уверенно</t>
        </is>
      </c>
      <c r="C85" t="inlineStr">
        <is>
          <t>kaberne-sovinon-3</t>
        </is>
      </c>
      <c r="D85" t="inlineStr">
        <is>
          <t>Каберне Совиньон — Литавщук. Litavshchuk vineyards &amp; winery — Красное полусухое</t>
        </is>
      </c>
      <c r="F85" t="inlineStr">
        <is>
          <t>vinodelnya-begildeeva-kaberne-sovinon-krasnoe-suhoe-14</t>
        </is>
      </c>
      <c r="G85" t="inlineStr">
        <is>
          <t>kaberne-sovinon-3</t>
        </is>
      </c>
      <c r="H85" t="inlineStr">
        <is>
          <t>vinodelnya-begildeeva-kaberne-sovinon-merlo-krasnoe-suhoe-14</t>
        </is>
      </c>
      <c r="I85" t="inlineStr">
        <is>
          <t>kaberne-sovinon-1</t>
        </is>
      </c>
      <c r="J85" t="inlineStr">
        <is>
          <t>kaberne-sovinon-4</t>
        </is>
      </c>
      <c r="K85">
        <f>IF(C85="","",IFERROR(MATCH(C85,F85:J85,0),"нет"))</f>
        <v/>
      </c>
      <c r="L85">
        <f>IF(C85="","",IF(K85=1,1,0))</f>
        <v/>
      </c>
      <c r="M85">
        <f>IF(C85="","",IF(ISNUMBER(K85),1,0))</f>
        <v/>
      </c>
      <c r="N85" t="inlineStr">
        <is>
          <t>Каберне Совиньон — Винодельня Бегильдеева — Красное сухое</t>
        </is>
      </c>
      <c r="O85" t="inlineStr">
        <is>
          <t>Каберне Совиньон — Литавщук. Litavshchuk vineyards &amp; winery — Красное полусухое</t>
        </is>
      </c>
      <c r="P85" t="inlineStr">
        <is>
          <t>Каберне Совиньон – Мерло — Винодельня Бегильдеева — Красное сухое</t>
        </is>
      </c>
      <c r="Q85" t="inlineStr">
        <is>
          <t>Каберне Совиньон — Галицкий и Галицкий — Красное сухое</t>
        </is>
      </c>
      <c r="R85" t="inlineStr">
        <is>
          <t>Каберне Совиньон — Усадьба Перовских — Красное сухое</t>
        </is>
      </c>
    </row>
    <row r="86">
      <c r="A86" t="inlineStr">
        <is>
          <t>96.66_22-08-2026_20-44-40.webp</t>
        </is>
      </c>
      <c r="B86" t="inlineStr">
        <is>
          <t>уверенно</t>
        </is>
      </c>
      <c r="C86" t="inlineStr">
        <is>
          <t>perovskih_polusuhoe_krasnoe</t>
        </is>
      </c>
      <c r="D86" t="inlineStr">
        <is>
          <t>Полусухое Красное — Усадьба Перовских — Красное полусухое</t>
        </is>
      </c>
      <c r="F86" t="inlineStr">
        <is>
          <t>perovskih_polusuhoe_krasnoe</t>
        </is>
      </c>
      <c r="G86" t="inlineStr">
        <is>
          <t>perovskih_polusladkoe_krasnoe</t>
        </is>
      </c>
      <c r="H86" t="inlineStr">
        <is>
          <t>perovskih_polusladkoe_beloe</t>
        </is>
      </c>
      <c r="I86" t="inlineStr">
        <is>
          <t>rozovoe-polusuhoe</t>
        </is>
      </c>
      <c r="J86" t="inlineStr">
        <is>
          <t>perovskih_polusladkoe_rosovoe</t>
        </is>
      </c>
      <c r="K86">
        <f>IF(C86="","",IFERROR(MATCH(C86,F86:J86,0),"нет"))</f>
        <v/>
      </c>
      <c r="L86">
        <f>IF(C86="","",IF(K86=1,1,0))</f>
        <v/>
      </c>
      <c r="M86">
        <f>IF(C86="","",IF(ISNUMBER(K86),1,0))</f>
        <v/>
      </c>
      <c r="N86" t="inlineStr">
        <is>
          <t>Полусухое Красное — Усадьба Перовских — Красное полусухое</t>
        </is>
      </c>
      <c r="O86" t="inlineStr">
        <is>
          <t>Полусладкое Красное — Усадьба Перовских — Красное полусладкое</t>
        </is>
      </c>
      <c r="P86" t="inlineStr">
        <is>
          <t>Полусладкое Белое  — Усадьба Перовских — Белое полусладкое</t>
        </is>
      </c>
      <c r="Q86" t="inlineStr">
        <is>
          <t>Розовое полусухое — Усадьба Перовских — Розовое полусухое</t>
        </is>
      </c>
      <c r="R86" t="inlineStr">
        <is>
          <t>Полусладкое розовое — Усадьба Перовских — Розовое полусладкое</t>
        </is>
      </c>
    </row>
    <row r="87">
      <c r="A87" t="inlineStr">
        <is>
          <t>96.67_27-08-2026_17-47-05.webp</t>
        </is>
      </c>
      <c r="B87" t="inlineStr">
        <is>
          <t>нет в каталоге</t>
        </is>
      </c>
      <c r="F87" t="inlineStr">
        <is>
          <t>vinodelnya-begildeeva-merlo-krasnoe-suhoe-14</t>
        </is>
      </c>
      <c r="G87" t="inlineStr">
        <is>
          <t>vinodelnya-begildeeva-kaberne-sovinon-merlo-krasnoe-suhoe-14</t>
        </is>
      </c>
      <c r="H87" t="inlineStr">
        <is>
          <t>soyuz-vino-soyuz-vino-izabella-krasnoe-polusladkoe-11</t>
        </is>
      </c>
      <c r="I87" t="inlineStr">
        <is>
          <t>belbek-beloe-suhoe-kaberne-sovinon-krasnoe-14</t>
        </is>
      </c>
      <c r="J87" t="inlineStr">
        <is>
          <t>vinodelnya-begildeeva-kaberne-sovinon-krasnoe-suhoe-14</t>
        </is>
      </c>
      <c r="K87">
        <f>IF(C87="","",IFERROR(MATCH(C87,F87:J87,0),"нет"))</f>
        <v/>
      </c>
      <c r="L87">
        <f>IF(C87="","",IF(K87=1,1,0))</f>
        <v/>
      </c>
      <c r="M87">
        <f>IF(C87="","",IF(ISNUMBER(K87),1,0))</f>
        <v/>
      </c>
      <c r="N87" t="inlineStr">
        <is>
          <t>Мерло — Винодельня Бегильдеева — Красное сухое</t>
        </is>
      </c>
      <c r="O87" t="inlineStr">
        <is>
          <t>Каберне Совиньон – Мерло — Винодельня Бегильдеева — Красное сухое</t>
        </is>
      </c>
      <c r="P87" t="inlineStr">
        <is>
          <t>Союз-Вино Изабелла — Союз-Вино — Красное полусладкое</t>
        </is>
      </c>
      <c r="Q87" t="inlineStr">
        <is>
          <t>Белое сухое — Бельбек — Красное сухое</t>
        </is>
      </c>
      <c r="R87" t="inlineStr">
        <is>
          <t>Каберне Совиньон — Винодельня Бегильдеева — Красное сухое</t>
        </is>
      </c>
    </row>
    <row r="88">
      <c r="A88" t="inlineStr">
        <is>
          <t>96.74_28-08-2026_13-52-26.webp</t>
        </is>
      </c>
      <c r="B88" t="inlineStr">
        <is>
          <t>уверенно</t>
        </is>
      </c>
      <c r="C88" t="inlineStr">
        <is>
          <t>usadba-mezyb-shishka-kupazh-5-kaberne-sovinon-rozovoe-suhoe-133</t>
        </is>
      </c>
      <c r="D88" t="inlineStr">
        <is>
          <t>Шишка. Купаж №5 — Усадьба Мезыбь — Розовое сухое</t>
        </is>
      </c>
      <c r="F88" t="inlineStr">
        <is>
          <t>usadba-mezyb-shishka-kupazh-5-kaberne-sovinon-rozovoe-suhoe-133</t>
        </is>
      </c>
      <c r="G88" t="inlineStr">
        <is>
          <t>usadba-mezyb-shishka-pino-nuar-rozovoe-suhoe-115</t>
        </is>
      </c>
      <c r="H88" t="inlineStr">
        <is>
          <t>usadba-mezyb-shishka-oranzh-shardone-beloe-suhoe-127</t>
        </is>
      </c>
      <c r="I88" t="inlineStr">
        <is>
          <t>usadba-mezyb-shishka-shenen-blan-sovinon-blan-beloe-suhoe-126</t>
        </is>
      </c>
      <c r="J88" t="inlineStr">
        <is>
          <t>usadba-mezyb-shishka-shenen-blan-beloe-suhoe-13</t>
        </is>
      </c>
      <c r="K88">
        <f>IF(C88="","",IFERROR(MATCH(C88,F88:J88,0),"нет"))</f>
        <v/>
      </c>
      <c r="L88">
        <f>IF(C88="","",IF(K88=1,1,0))</f>
        <v/>
      </c>
      <c r="M88">
        <f>IF(C88="","",IF(ISNUMBER(K88),1,0))</f>
        <v/>
      </c>
      <c r="N88" t="inlineStr">
        <is>
          <t>Шишка. Купаж №5 — Усадьба Мезыбь — Розовое сухое</t>
        </is>
      </c>
      <c r="O88" t="inlineStr">
        <is>
          <t>Шишка. Пино Нуар — Усадьба Мезыбь — Розовое сухое</t>
        </is>
      </c>
      <c r="P88" t="inlineStr">
        <is>
          <t>Шишка. Оранж — Усадьба Мезыбь — Белое сухое</t>
        </is>
      </c>
      <c r="Q88" t="inlineStr">
        <is>
          <t>Шишка. Шенен Блан, Совиньон Блан — Усадьба Мезыбь — Белое сухое</t>
        </is>
      </c>
      <c r="R88" t="inlineStr">
        <is>
          <t>Шишка. Шенен Блан — Усадьба Мезыбь — Белое сухое</t>
        </is>
      </c>
    </row>
    <row r="89">
      <c r="A89" t="inlineStr">
        <is>
          <t>96.76_07-09-2026_14-57-04.webp</t>
        </is>
      </c>
      <c r="B89" t="inlineStr">
        <is>
          <t>уверенно</t>
        </is>
      </c>
      <c r="C89" t="inlineStr">
        <is>
          <t>pozdnij-sbor-krasnoe</t>
        </is>
      </c>
      <c r="D89" t="inlineStr">
        <is>
          <t>Поздний сбор, Красное — Литавщук. Litavshchuk vineyards &amp; winery — Красное сладкое</t>
        </is>
      </c>
      <c r="F89" t="inlineStr">
        <is>
          <t>pozdnij-sbor-beloe</t>
        </is>
      </c>
      <c r="G89" t="inlineStr">
        <is>
          <t>pozdnij-sbor-krasnoe</t>
        </is>
      </c>
      <c r="H89" t="inlineStr">
        <is>
          <t>usadba-aleksandrovskaya-bubnovyy-valet-kaberne-sovinon-krasnoe-polusladkoe-13</t>
        </is>
      </c>
      <c r="I89" t="inlineStr">
        <is>
          <t>kokur-premium</t>
        </is>
      </c>
      <c r="J89" t="inlineStr">
        <is>
          <t>kaberne-sovinon-4</t>
        </is>
      </c>
      <c r="K89">
        <f>IF(C89="","",IFERROR(MATCH(C89,F89:J89,0),"нет"))</f>
        <v/>
      </c>
      <c r="L89">
        <f>IF(C89="","",IF(K89=1,1,0))</f>
        <v/>
      </c>
      <c r="M89">
        <f>IF(C89="","",IF(ISNUMBER(K89),1,0))</f>
        <v/>
      </c>
      <c r="N89" t="inlineStr">
        <is>
          <t>Поздний сбор  Белое — Литавщук. Litavshchuk vineyards &amp; winery — Белое сладкое</t>
        </is>
      </c>
      <c r="O89" t="inlineStr">
        <is>
          <t>Поздний сбор, Красное — Литавщук. Litavshchuk vineyards &amp; winery — Красное сладкое</t>
        </is>
      </c>
      <c r="P89" t="inlineStr">
        <is>
          <t>Бубновый Валет — Усадьба Александровская — Красное полусладкое</t>
        </is>
      </c>
      <c r="Q89" t="inlineStr">
        <is>
          <t>Кокур Премиум — Массандра — Белое сухое</t>
        </is>
      </c>
      <c r="R89" t="inlineStr">
        <is>
          <t>Каберне Совиньон — Усадьба Перовских — Красное сухое</t>
        </is>
      </c>
    </row>
    <row r="90">
      <c r="A90" t="inlineStr">
        <is>
          <t>96.77_24-08-2026_14-10-46.webp</t>
        </is>
      </c>
      <c r="B90" t="inlineStr">
        <is>
          <t>уверенно</t>
        </is>
      </c>
      <c r="C90" t="inlineStr">
        <is>
          <t>golubitskoe-estate-red-blend-kaberne-sovinon-krasnoe-suhoe-136</t>
        </is>
      </c>
      <c r="D90" t="inlineStr">
        <is>
          <t>Red Blend — Golubitskoe Estate — Красное сухое</t>
        </is>
      </c>
      <c r="F90" t="inlineStr">
        <is>
          <t>golubitskoe-estate-winery-series-roze-blend-kaberne-sovinon-rozovoe-suhoe-117</t>
        </is>
      </c>
      <c r="G90" t="inlineStr">
        <is>
          <t>golubitskoe-estate-winery-series-pino-nuar-rozovoe-suhoe-115</t>
        </is>
      </c>
      <c r="H90" t="inlineStr">
        <is>
          <t>golubitskoe-estate-red-blend-kaberne-sovinon-krasnoe-suhoe-136</t>
        </is>
      </c>
      <c r="I90" t="inlineStr">
        <is>
          <t>pomeste-golubitskoe-kaberne-sovinon-rezerv-krasnoe-suhoe-143</t>
        </is>
      </c>
      <c r="J90" t="inlineStr">
        <is>
          <t>golubitskoe-estate-kaberne-sovinon-rezerv-krasnoe-suhoe-125</t>
        </is>
      </c>
      <c r="K90">
        <f>IF(C90="","",IFERROR(MATCH(C90,F90:J90,0),"нет"))</f>
        <v/>
      </c>
      <c r="L90">
        <f>IF(C90="","",IF(K90=1,1,0))</f>
        <v/>
      </c>
      <c r="M90">
        <f>IF(C90="","",IF(ISNUMBER(K90),1,0))</f>
        <v/>
      </c>
      <c r="N90" t="inlineStr">
        <is>
          <t>Winery Series. Розе бленд — Golubitskoe Estate — Розовое сухое</t>
        </is>
      </c>
      <c r="O90" t="inlineStr">
        <is>
          <t>Winery Series. Пино Нуар — Golubitskoe Estate — Розовое сухое</t>
        </is>
      </c>
      <c r="P90" t="inlineStr">
        <is>
          <t>Red Blend — Golubitskoe Estate — Красное сухое</t>
        </is>
      </c>
      <c r="Q90" t="inlineStr">
        <is>
          <t>Каберне Совиньон Резерв — Golubitskoe Estate — Красное сухое</t>
        </is>
      </c>
      <c r="R90" t="inlineStr">
        <is>
          <t>Каберне Совиньон Резерв — Golubitskoe Estate — Красное сухое</t>
        </is>
      </c>
    </row>
    <row r="91">
      <c r="A91" t="inlineStr">
        <is>
          <t>96.78_25-08-2026_18-04-42.webp</t>
        </is>
      </c>
      <c r="B91" t="inlineStr">
        <is>
          <t>исключено</t>
        </is>
      </c>
      <c r="E91" t="inlineStr">
        <is>
          <t>здесь на фото 2 вина разных</t>
        </is>
      </c>
      <c r="F91" t="inlineStr">
        <is>
          <t>rubin-golodrigi</t>
        </is>
      </c>
      <c r="G91" t="inlineStr">
        <is>
          <t>risling-1</t>
        </is>
      </c>
      <c r="H91" t="inlineStr">
        <is>
          <t>czitronnyj-magaracha</t>
        </is>
      </c>
      <c r="I91" t="inlineStr">
        <is>
          <t>kaberne-sovinon-2</t>
        </is>
      </c>
      <c r="J91" t="inlineStr">
        <is>
          <t>bukovinka</t>
        </is>
      </c>
      <c r="K91">
        <f>IF(C91="","",IFERROR(MATCH(C91,F91:J91,0),"нет"))</f>
        <v/>
      </c>
      <c r="L91">
        <f>IF(C91="","",IF(K91=1,1,0))</f>
        <v/>
      </c>
      <c r="M91">
        <f>IF(C91="","",IF(ISNUMBER(K91),1,0))</f>
        <v/>
      </c>
      <c r="N91" t="inlineStr">
        <is>
          <t>Рубин Голодриги  — Табия — Красное сухое</t>
        </is>
      </c>
      <c r="O91" t="inlineStr">
        <is>
          <t>Рислинг — Табия — Белое полусухое</t>
        </is>
      </c>
      <c r="P91" t="inlineStr">
        <is>
          <t>Цитрон — Табия — Белое сухое</t>
        </is>
      </c>
      <c r="Q91" t="inlineStr">
        <is>
          <t>Каберне Совиньон — Табия — Красное сухое</t>
        </is>
      </c>
      <c r="R91" t="inlineStr">
        <is>
          <t>Буковинка — Табия — Белое полусухое</t>
        </is>
      </c>
    </row>
    <row r="92">
      <c r="A92" t="inlineStr">
        <is>
          <t>96.79_20-08-2026_17-48-31.webp</t>
        </is>
      </c>
      <c r="B92" t="inlineStr">
        <is>
          <t>уверенно</t>
        </is>
      </c>
      <c r="C92" t="inlineStr">
        <is>
          <t>oleg</t>
        </is>
      </c>
      <c r="D92" t="inlineStr">
        <is>
          <t>Олег — Табия — Белое сухое</t>
        </is>
      </c>
      <c r="F92" t="inlineStr">
        <is>
          <t>oleg</t>
        </is>
      </c>
      <c r="G92" t="inlineStr">
        <is>
          <t>kaberne-sovinon-2</t>
        </is>
      </c>
      <c r="H92" t="inlineStr">
        <is>
          <t>rubin-golodrigi</t>
        </is>
      </c>
      <c r="I92" t="inlineStr">
        <is>
          <t>bukovinka</t>
        </is>
      </c>
      <c r="J92" t="inlineStr">
        <is>
          <t>roze-2</t>
        </is>
      </c>
      <c r="K92">
        <f>IF(C92="","",IFERROR(MATCH(C92,F92:J92,0),"нет"))</f>
        <v/>
      </c>
      <c r="L92">
        <f>IF(C92="","",IF(K92=1,1,0))</f>
        <v/>
      </c>
      <c r="M92">
        <f>IF(C92="","",IF(ISNUMBER(K92),1,0))</f>
        <v/>
      </c>
      <c r="N92" t="inlineStr">
        <is>
          <t>Олег — Табия — Белое сухое</t>
        </is>
      </c>
      <c r="O92" t="inlineStr">
        <is>
          <t>Каберне Совиньон — Табия — Красное сухое</t>
        </is>
      </c>
      <c r="P92" t="inlineStr">
        <is>
          <t>Рубин Голодриги  — Табия — Красное сухое</t>
        </is>
      </c>
      <c r="Q92" t="inlineStr">
        <is>
          <t>Буковинка — Табия — Белое полусухое</t>
        </is>
      </c>
      <c r="R92" t="inlineStr">
        <is>
          <t>Розе — Табия — Розовое сухое</t>
        </is>
      </c>
    </row>
    <row r="93">
      <c r="A93" t="inlineStr">
        <is>
          <t>96.79_28-08-2026_22-05-22.webp</t>
        </is>
      </c>
      <c r="B93" t="inlineStr">
        <is>
          <t>уверенно</t>
        </is>
      </c>
      <c r="C93" t="inlineStr">
        <is>
          <t>vinodelnya-vedernikov-vedernikov-dolina-dona-beloe-suhoe-aligote-12</t>
        </is>
      </c>
      <c r="D93" t="inlineStr">
        <is>
          <t>Ведерниковъ Долина Дона Белое Сухое — Ведерниковъ — Белое сухое</t>
        </is>
      </c>
      <c r="F93" t="inlineStr">
        <is>
          <t>vinodelnya-vedernikov-sibirkovyy-beloe-suhoe-11</t>
        </is>
      </c>
      <c r="G93" t="inlineStr">
        <is>
          <t>vinodelnya-vedernikov-vedernikov-dolina-dona-beloe-suhoe-aligote-12</t>
        </is>
      </c>
      <c r="H93" t="inlineStr">
        <is>
          <t>vinodelnya-vedernikov-vedernikov-dolina-dona-krasnoe-suhoe-kaberne-sovinon-125</t>
        </is>
      </c>
      <c r="I93" t="inlineStr">
        <is>
          <t>vinodelnya-vedernikov-krasnostop-zolotovskiy-krasnoe-suhoe-13</t>
        </is>
      </c>
      <c r="J93" t="inlineStr">
        <is>
          <t>vinodelnya-vedernikov-gubernatorskoe-risling-beloe-suhoe-12</t>
        </is>
      </c>
      <c r="K93">
        <f>IF(C93="","",IFERROR(MATCH(C93,F93:J93,0),"нет"))</f>
        <v/>
      </c>
      <c r="L93">
        <f>IF(C93="","",IF(K93=1,1,0))</f>
        <v/>
      </c>
      <c r="M93">
        <f>IF(C93="","",IF(ISNUMBER(K93),1,0))</f>
        <v/>
      </c>
      <c r="N93" t="inlineStr">
        <is>
          <t>Сибирьковый — Ведерниковъ — Белое сухое</t>
        </is>
      </c>
      <c r="O93" t="inlineStr">
        <is>
          <t>Ведерниковъ Долина Дона Белое Сухое — Ведерниковъ — Белое сухое</t>
        </is>
      </c>
      <c r="P93" t="inlineStr">
        <is>
          <t>Ведерниковъ Долина Дона Красное Сухое — Ведерниковъ — Красное сухое</t>
        </is>
      </c>
      <c r="Q93" t="inlineStr">
        <is>
          <t>Красностоп Золотовский — Ведерниковъ — Красное сухое</t>
        </is>
      </c>
      <c r="R93" t="inlineStr">
        <is>
          <t>Губернаторское. Рислинг — Ведерниковъ — Белое сухое</t>
        </is>
      </c>
    </row>
    <row r="94">
      <c r="A94" t="inlineStr">
        <is>
          <t>96.7_28-08-2026_13-50-21.webp</t>
        </is>
      </c>
      <c r="B94" t="inlineStr">
        <is>
          <t>нет в каталоге</t>
        </is>
      </c>
      <c r="F94" t="inlineStr">
        <is>
          <t>usadba-divnomorskoe-yuzhnyy-les-merlo-krasnoe-suhoe-137</t>
        </is>
      </c>
      <c r="G94" t="inlineStr">
        <is>
          <t>usadba-divnomorskoe-solnechnyy-veter-shardone-beloe-suhoe-125</t>
        </is>
      </c>
      <c r="H94" t="inlineStr">
        <is>
          <t>usadba-divnomorskoe-solist-marselan-rozovoe-suhoe-115</t>
        </is>
      </c>
      <c r="I94" t="inlineStr">
        <is>
          <t>usadba-divnomorskoe-holodnyy-tuman-risling-beloe-suhoe-115</t>
        </is>
      </c>
      <c r="J94" t="inlineStr">
        <is>
          <t>vinodelnya-vedernikov-vedernikov-krasnostop-zolotovskiy-magnum-krasnoe-suhoe-145</t>
        </is>
      </c>
      <c r="K94">
        <f>IF(C94="","",IFERROR(MATCH(C94,F94:J94,0),"нет"))</f>
        <v/>
      </c>
      <c r="L94">
        <f>IF(C94="","",IF(K94=1,1,0))</f>
        <v/>
      </c>
      <c r="M94">
        <f>IF(C94="","",IF(ISNUMBER(K94),1,0))</f>
        <v/>
      </c>
      <c r="N94" t="inlineStr">
        <is>
          <t>Южный Лес — Усадьба Дивноморское — Красное сухое</t>
        </is>
      </c>
      <c r="O94" t="inlineStr">
        <is>
          <t>Солнечный Ветер — Усадьба Дивноморское — Белое сухое</t>
        </is>
      </c>
      <c r="P94" t="inlineStr">
        <is>
          <t>Солист — Усадьба Дивноморское — Розовое сухое</t>
        </is>
      </c>
      <c r="Q94" t="inlineStr">
        <is>
          <t>Холодный Туман — Усадьба Дивноморское — Белое сухое</t>
        </is>
      </c>
      <c r="R94" t="inlineStr">
        <is>
          <t>Ведерниковъ Красностоп Золотовский (магнум) — Ведерниковъ — Красное сухое</t>
        </is>
      </c>
    </row>
    <row r="95">
      <c r="A95" t="inlineStr">
        <is>
          <t>96.83_20-08-2026_17-48-13.webp</t>
        </is>
      </c>
      <c r="B95" t="inlineStr">
        <is>
          <t>уверенно</t>
        </is>
      </c>
      <c r="C95" t="inlineStr">
        <is>
          <t>oleg</t>
        </is>
      </c>
      <c r="D95" t="inlineStr">
        <is>
          <t>Олег — Табия — Белое сухое</t>
        </is>
      </c>
      <c r="F95" t="inlineStr">
        <is>
          <t>oleg</t>
        </is>
      </c>
      <c r="G95" t="inlineStr">
        <is>
          <t>rubin-golodrigi</t>
        </is>
      </c>
      <c r="H95" t="inlineStr">
        <is>
          <t>kaberne-sovinon-2</t>
        </is>
      </c>
      <c r="I95" t="inlineStr">
        <is>
          <t>bukovinka</t>
        </is>
      </c>
      <c r="J95" t="inlineStr">
        <is>
          <t>risling-1</t>
        </is>
      </c>
      <c r="K95">
        <f>IF(C95="","",IFERROR(MATCH(C95,F95:J95,0),"нет"))</f>
        <v/>
      </c>
      <c r="L95">
        <f>IF(C95="","",IF(K95=1,1,0))</f>
        <v/>
      </c>
      <c r="M95">
        <f>IF(C95="","",IF(ISNUMBER(K95),1,0))</f>
        <v/>
      </c>
      <c r="N95" t="inlineStr">
        <is>
          <t>Олег — Табия — Белое сухое</t>
        </is>
      </c>
      <c r="O95" t="inlineStr">
        <is>
          <t>Рубин Голодриги  — Табия — Красное сухое</t>
        </is>
      </c>
      <c r="P95" t="inlineStr">
        <is>
          <t>Каберне Совиньон — Табия — Красное сухое</t>
        </is>
      </c>
      <c r="Q95" t="inlineStr">
        <is>
          <t>Буковинка — Табия — Белое полусухое</t>
        </is>
      </c>
      <c r="R95" t="inlineStr">
        <is>
          <t>Рислинг — Табия — Белое полусухое</t>
        </is>
      </c>
    </row>
    <row r="96">
      <c r="A96" t="inlineStr">
        <is>
          <t>96.8_25-08-2026_22-20-38.webp</t>
        </is>
      </c>
      <c r="B96" t="inlineStr">
        <is>
          <t>не уверен</t>
        </is>
      </c>
      <c r="C96" t="inlineStr">
        <is>
          <t>sovinon-blan</t>
        </is>
      </c>
      <c r="D96" t="inlineStr">
        <is>
          <t>Совиньон Блан — Литавщук. Litavshchuk vineyards &amp; winery — Белое полусладкое</t>
        </is>
      </c>
      <c r="E96" t="inlineStr">
        <is>
          <t>то что в slug полусладкое, а на фото полусухое</t>
        </is>
      </c>
      <c r="F96" t="inlineStr">
        <is>
          <t>sovinon-blan</t>
        </is>
      </c>
      <c r="G96" t="inlineStr">
        <is>
          <t>blagolyubov-sovinon-blan-beloe-suhoe-125</t>
        </is>
      </c>
      <c r="H96" t="inlineStr">
        <is>
          <t>vinodelnya-begildeeva-kaberne-sovinon-krasnoe-suhoe-14</t>
        </is>
      </c>
      <c r="I96" t="inlineStr">
        <is>
          <t>dubinin-winery-sovinon-blan-beloe-suhoe-12</t>
        </is>
      </c>
      <c r="J96" t="inlineStr">
        <is>
          <t>vinodelnya-begildeeva-kaberne-sovinon-merlo-krasnoe-suhoe-14</t>
        </is>
      </c>
      <c r="K96">
        <f>IF(C96="","",IFERROR(MATCH(C96,F96:J96,0),"нет"))</f>
        <v/>
      </c>
      <c r="L96">
        <f>IF(C96="","",IF(K96=1,1,0))</f>
        <v/>
      </c>
      <c r="M96">
        <f>IF(C96="","",IF(ISNUMBER(K96),1,0))</f>
        <v/>
      </c>
      <c r="N96" t="inlineStr">
        <is>
          <t>Совиньон Блан — Литавщук. Litavshchuk vineyards &amp; winery — Белое полусладкое</t>
        </is>
      </c>
      <c r="O96" t="inlineStr">
        <is>
          <t>Совиньон Блан — Благолюбов — Белое сухое</t>
        </is>
      </c>
      <c r="P96" t="inlineStr">
        <is>
          <t>Каберне Совиньон — Винодельня Бегильдеева — Красное сухое</t>
        </is>
      </c>
      <c r="Q96" t="inlineStr">
        <is>
          <t>Совиньон Блан — Dubinin Winery — Белое сухое</t>
        </is>
      </c>
      <c r="R96" t="inlineStr">
        <is>
          <t>Каберне Совиньон – Мерло — Винодельня Бегильдеева — Красное сухое</t>
        </is>
      </c>
    </row>
    <row r="97">
      <c r="A97" t="inlineStr">
        <is>
          <t>96.96_05-09-2026_19-02-01.webp</t>
        </is>
      </c>
      <c r="B97" t="inlineStr">
        <is>
          <t>уверенно</t>
        </is>
      </c>
      <c r="C97" t="inlineStr">
        <is>
          <t>denisov_rubin_klaret_krasnaya_strelka</t>
        </is>
      </c>
      <c r="D97" t="inlineStr">
        <is>
          <t>Рубин кларет . Красная стрелка — Denisov Winery — Розовое сухое</t>
        </is>
      </c>
      <c r="F97" t="inlineStr">
        <is>
          <t>denisov_rubin_klaret_krasnaya_strelka</t>
        </is>
      </c>
      <c r="G97" t="inlineStr">
        <is>
          <t>denisov_pino_noir_klaret</t>
        </is>
      </c>
      <c r="H97" t="inlineStr">
        <is>
          <t>vinodelnya-pokrovskaya-pokrovskoe-sladkoe-krasnoe-kaberne-sovinon-13</t>
        </is>
      </c>
      <c r="I97" t="inlineStr">
        <is>
          <t>usadba-aleksandrovskaya-bubnovyy-valet-kaberne-sovinon-krasnoe-polusladkoe-13</t>
        </is>
      </c>
      <c r="J97" t="inlineStr">
        <is>
          <t>vinodelnya-78-aligote-otbornoe-beloe-suhoe-12</t>
        </is>
      </c>
      <c r="K97">
        <f>IF(C97="","",IFERROR(MATCH(C97,F97:J97,0),"нет"))</f>
        <v/>
      </c>
      <c r="L97">
        <f>IF(C97="","",IF(K97=1,1,0))</f>
        <v/>
      </c>
      <c r="M97">
        <f>IF(C97="","",IF(ISNUMBER(K97),1,0))</f>
        <v/>
      </c>
      <c r="N97" t="inlineStr">
        <is>
          <t>Рубин кларет . Красная стрелка — Denisov Winery — Розовое сухое</t>
        </is>
      </c>
      <c r="O97" t="inlineStr">
        <is>
          <t>Пино Нуар кларет. Красная стрелка — Denisov Winery — Розовое сухое</t>
        </is>
      </c>
      <c r="P97" t="inlineStr">
        <is>
          <t>Покровское сладкое красное — Винодельня Покровская — Красное сладкое</t>
        </is>
      </c>
      <c r="Q97" t="inlineStr">
        <is>
          <t>Бубновый Валет — Усадьба Александровская — Красное полусладкое</t>
        </is>
      </c>
      <c r="R97" t="inlineStr">
        <is>
          <t>Алиготе Отборное — Винодельня 78 — Белое сухое</t>
        </is>
      </c>
    </row>
    <row r="98">
      <c r="A98" t="inlineStr">
        <is>
          <t>96.98_19-08-2026_19-05-06.webp</t>
        </is>
      </c>
      <c r="B98" t="inlineStr">
        <is>
          <t>уверенно</t>
        </is>
      </c>
      <c r="C98" t="inlineStr">
        <is>
          <t>czitronnyj-magaracha</t>
        </is>
      </c>
      <c r="D98" t="inlineStr">
        <is>
          <t>Цитрон — Табия — Белое сухое</t>
        </is>
      </c>
      <c r="E98" t="inlineStr">
        <is>
          <t>в slug сухое, а нужно полусухое, но полусухого нет</t>
        </is>
      </c>
      <c r="F98" t="inlineStr">
        <is>
          <t>risling-1</t>
        </is>
      </c>
      <c r="G98" t="inlineStr">
        <is>
          <t>czitronnyj-magaracha</t>
        </is>
      </c>
      <c r="H98" t="inlineStr">
        <is>
          <t>oleg</t>
        </is>
      </c>
      <c r="I98" t="inlineStr">
        <is>
          <t>bukovinka</t>
        </is>
      </c>
      <c r="J98" t="inlineStr">
        <is>
          <t>rubin-golodrigi</t>
        </is>
      </c>
      <c r="K98">
        <f>IF(C98="","",IFERROR(MATCH(C98,F98:J98,0),"нет"))</f>
        <v/>
      </c>
      <c r="L98">
        <f>IF(C98="","",IF(K98=1,1,0))</f>
        <v/>
      </c>
      <c r="M98">
        <f>IF(C98="","",IF(ISNUMBER(K98),1,0))</f>
        <v/>
      </c>
      <c r="N98" t="inlineStr">
        <is>
          <t>Рислинг — Табия — Белое полусухое</t>
        </is>
      </c>
      <c r="O98" t="inlineStr">
        <is>
          <t>Цитрон — Табия — Белое сухое</t>
        </is>
      </c>
      <c r="P98" t="inlineStr">
        <is>
          <t>Олег — Табия — Белое сухое</t>
        </is>
      </c>
      <c r="Q98" t="inlineStr">
        <is>
          <t>Буковинка — Табия — Белое полусухое</t>
        </is>
      </c>
      <c r="R98" t="inlineStr">
        <is>
          <t>Рубин Голодриги  — Табия — Красное сухое</t>
        </is>
      </c>
    </row>
    <row r="99">
      <c r="A99" t="inlineStr">
        <is>
          <t>97.02_29-08-2026_18-49-02.webp</t>
        </is>
      </c>
      <c r="B99" t="inlineStr">
        <is>
          <t>нет в каталоге</t>
        </is>
      </c>
      <c r="F99" t="inlineStr">
        <is>
          <t>caperavi-avtorskoe-vino</t>
        </is>
      </c>
      <c r="G99" t="inlineStr">
        <is>
          <t>kaberne-avtorskoe-vino</t>
        </is>
      </c>
      <c r="H99" t="inlineStr">
        <is>
          <t>massandra-muskatel-rozovyy-belye-sorta-vinograda-rozovoe-sladkoe-16</t>
        </is>
      </c>
      <c r="I99" t="inlineStr">
        <is>
          <t>kaberne-sovinon</t>
        </is>
      </c>
      <c r="J99" t="inlineStr">
        <is>
          <t>massandra-bastardo-bastardo-magarachskiy-krasnoe-sladkoe-16</t>
        </is>
      </c>
      <c r="K99">
        <f>IF(C99="","",IFERROR(MATCH(C99,F99:J99,0),"нет"))</f>
        <v/>
      </c>
      <c r="L99">
        <f>IF(C99="","",IF(K99=1,1,0))</f>
        <v/>
      </c>
      <c r="M99">
        <f>IF(C99="","",IF(ISNUMBER(K99),1,0))</f>
        <v/>
      </c>
      <c r="N99" t="inlineStr">
        <is>
          <t>Cаперави. Авторское вино — Массандра — Красное сухое</t>
        </is>
      </c>
      <c r="O99" t="inlineStr">
        <is>
          <t>Каберне. Авторское вино — Массандра — Красное сухое</t>
        </is>
      </c>
      <c r="P99" t="inlineStr">
        <is>
          <t>Мускатель розовый — Массандра — Розовое сладкое</t>
        </is>
      </c>
      <c r="Q99" t="inlineStr">
        <is>
          <t>Каберне Совиньон — Массандра — Красное сладкое</t>
        </is>
      </c>
      <c r="R99" t="inlineStr">
        <is>
          <t>Бастардо — Массандра — Красное сладкое</t>
        </is>
      </c>
    </row>
    <row r="100">
      <c r="A100" t="inlineStr">
        <is>
          <t>97.08_05-09-2026_15-30-50.webp</t>
        </is>
      </c>
      <c r="B100" t="inlineStr">
        <is>
          <t>нет в каталоге</t>
        </is>
      </c>
      <c r="F100" t="inlineStr">
        <is>
          <t>fanagoriya-alveus-ultra-cuvee-brut-shardone-beloe-bryut-12</t>
        </is>
      </c>
      <c r="G100" t="inlineStr">
        <is>
          <t>novyy-svet-dom-shampanskih-vin-igristoe-vino-vyderzhannoe-polusladkoe-rozovoe-novyy-svet-pino-fran-135</t>
        </is>
      </c>
      <c r="H100" t="inlineStr">
        <is>
          <t>fanagoriya-alveus-ultra-cuvee-ekstra-bryut-rozovoe-merlo-12</t>
        </is>
      </c>
      <c r="I100" t="inlineStr">
        <is>
          <t>fanagoriya-alveus-ultra-cuvee-ekstra-bryut-beloe-risling-reynskiy-12</t>
        </is>
      </c>
      <c r="J100" t="inlineStr">
        <is>
          <t>rozovoe-bryut-1</t>
        </is>
      </c>
      <c r="K100">
        <f>IF(C100="","",IFERROR(MATCH(C100,F100:J100,0),"нет"))</f>
        <v/>
      </c>
      <c r="L100">
        <f>IF(C100="","",IF(K100=1,1,0))</f>
        <v/>
      </c>
      <c r="M100">
        <f>IF(C100="","",IF(ISNUMBER(K100),1,0))</f>
        <v/>
      </c>
      <c r="N100" t="inlineStr">
        <is>
          <t>Alveus Ultra Cuvee Brut — Фанагория — Белое брют</t>
        </is>
      </c>
      <c r="O100" t="inlineStr">
        <is>
          <t>Игристое вино выдержанное полусладкое розовое «Новый Свет. Пино Фран» — Новый Свет. Дом шампанских вин — Розовое полусладкое</t>
        </is>
      </c>
      <c r="P100" t="inlineStr">
        <is>
          <t>Alveus Ultra Cuvee. Экстра брют розовое — Фанагория — Розовое экстра брют</t>
        </is>
      </c>
      <c r="Q100" t="inlineStr">
        <is>
          <t>Alveus Ultra Cuvee. Экстра брют белое — Фанагория — Белое экстра брют</t>
        </is>
      </c>
      <c r="R100" t="inlineStr">
        <is>
          <t>Розовое брют — Золотая Балка — Розовое брют</t>
        </is>
      </c>
    </row>
    <row r="101">
      <c r="A101" t="inlineStr">
        <is>
          <t>97.23_05-09-2026_15-34-36.webp</t>
        </is>
      </c>
      <c r="B101" t="inlineStr">
        <is>
          <t>не уверен</t>
        </is>
      </c>
      <c r="C101" t="inlineStr">
        <is>
          <t>sovinon-blan</t>
        </is>
      </c>
      <c r="D101" t="inlineStr">
        <is>
          <t>Совиньон Блан — Литавщук. Litavshchuk vineyards &amp; winery — Белое полусладкое</t>
        </is>
      </c>
      <c r="E101" t="inlineStr">
        <is>
          <t>то что в slug полусладкое, а на фото полусухое</t>
        </is>
      </c>
      <c r="F101" t="inlineStr">
        <is>
          <t>sovinon-blan</t>
        </is>
      </c>
      <c r="G101" t="inlineStr">
        <is>
          <t>vinodelnya-begildeeva-kaberne-sovinon-krasnoe-suhoe-14</t>
        </is>
      </c>
      <c r="H101" t="inlineStr">
        <is>
          <t>blagolyubov-sovinon-blan-beloe-suhoe-125</t>
        </is>
      </c>
      <c r="I101" t="inlineStr">
        <is>
          <t>kaberne-sovinon-3</t>
        </is>
      </c>
      <c r="J101" t="inlineStr">
        <is>
          <t>vinodelnya-begildeeva-kaberne-sovinon-merlo-krasnoe-suhoe-14</t>
        </is>
      </c>
      <c r="K101">
        <f>IF(C101="","",IFERROR(MATCH(C101,F101:J101,0),"нет"))</f>
        <v/>
      </c>
      <c r="L101">
        <f>IF(C101="","",IF(K101=1,1,0))</f>
        <v/>
      </c>
      <c r="M101">
        <f>IF(C101="","",IF(ISNUMBER(K101),1,0))</f>
        <v/>
      </c>
      <c r="N101" t="inlineStr">
        <is>
          <t>Совиньон Блан — Литавщук. Litavshchuk vineyards &amp; winery — Белое полусладкое</t>
        </is>
      </c>
      <c r="O101" t="inlineStr">
        <is>
          <t>Каберне Совиньон — Винодельня Бегильдеева — Красное сухое</t>
        </is>
      </c>
      <c r="P101" t="inlineStr">
        <is>
          <t>Совиньон Блан — Благолюбов — Белое сухое</t>
        </is>
      </c>
      <c r="Q101" t="inlineStr">
        <is>
          <t>Каберне Совиньон — Литавщук. Litavshchuk vineyards &amp; winery — Красное полусухое</t>
        </is>
      </c>
      <c r="R101" t="inlineStr">
        <is>
          <t>Каберне Совиньон – Мерло — Винодельня Бегильдеева — Красное сухое</t>
        </is>
      </c>
    </row>
  </sheetData>
  <autoFilter ref="A1:R101"/>
  <conditionalFormatting sqref="F2:J101">
    <cfRule type="expression" priority="1" dxfId="0">
      <formula>AND($C2&lt;&gt;"",F2=$C2)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34" customWidth="1" min="3" max="3"/>
    <col width="40" customWidth="1" min="4" max="4"/>
    <col width="30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9" customWidth="1" min="11" max="11"/>
    <col width="9" customWidth="1" min="12" max="12"/>
    <col width="9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12" customWidth="1" min="19" max="19"/>
    <col width="12" customWidth="1" min="20" max="20"/>
    <col width="10" customWidth="1" min="21" max="21"/>
  </cols>
  <sheetData>
    <row r="1">
      <c r="A1" s="5" t="inlineStr">
        <is>
          <t>Фото</t>
        </is>
      </c>
      <c r="B1" s="5" t="inlineStr">
        <is>
          <t>Статус разметки</t>
        </is>
      </c>
      <c r="C1" s="5" t="inlineStr">
        <is>
          <t>target</t>
        </is>
      </c>
      <c r="D1" s="5" t="inlineStr">
        <is>
          <t>target: вино</t>
        </is>
      </c>
      <c r="E1" s="5" t="inlineStr">
        <is>
          <t>Комментарий разметчика</t>
        </is>
      </c>
      <c r="F1" s="5" t="inlineStr">
        <is>
          <t>top-1</t>
        </is>
      </c>
      <c r="G1" s="5" t="inlineStr">
        <is>
          <t>top-2</t>
        </is>
      </c>
      <c r="H1" s="5" t="inlineStr">
        <is>
          <t>top-3</t>
        </is>
      </c>
      <c r="I1" s="5" t="inlineStr">
        <is>
          <t>top-4</t>
        </is>
      </c>
      <c r="J1" s="5" t="inlineStr">
        <is>
          <t>top-5</t>
        </is>
      </c>
      <c r="K1" s="5" t="inlineStr">
        <is>
          <t>Ранг target</t>
        </is>
      </c>
      <c r="L1" s="5" t="inlineStr">
        <is>
          <t>Верно top-1</t>
        </is>
      </c>
      <c r="M1" s="5" t="inlineStr">
        <is>
          <t>Верно top-5</t>
        </is>
      </c>
      <c r="N1" s="5" t="inlineStr">
        <is>
          <t>top-1: вино</t>
        </is>
      </c>
      <c r="O1" s="5" t="inlineStr">
        <is>
          <t>top-2: вино</t>
        </is>
      </c>
      <c r="P1" s="5" t="inlineStr">
        <is>
          <t>top-3: вино</t>
        </is>
      </c>
      <c r="Q1" s="5" t="inlineStr">
        <is>
          <t>top-4: вино</t>
        </is>
      </c>
      <c r="R1" s="5" t="inlineStr">
        <is>
          <t>top-5: вино</t>
        </is>
      </c>
    </row>
    <row r="2">
      <c r="A2" t="inlineStr">
        <is>
          <t>1.73_06-09-2026_14-54-06.webp</t>
        </is>
      </c>
      <c r="B2" t="inlineStr">
        <is>
          <t>не уверен</t>
        </is>
      </c>
      <c r="C2" t="inlineStr">
        <is>
          <t>fanagoriya-rose-kaberne-fran-rozovoe-suhoe-13</t>
        </is>
      </c>
      <c r="D2" t="inlineStr">
        <is>
          <t>Rose. Каберне Фран — Фанагория — Розовое сухое</t>
        </is>
      </c>
      <c r="E2" t="inlineStr">
        <is>
          <t>договоримся так, после __ я буду писать свои комментарии. этого вина нет в наборе, но я не уверен</t>
        </is>
      </c>
      <c r="F2" t="inlineStr">
        <is>
          <t>rozovoe-polusladkoe</t>
        </is>
      </c>
      <c r="G2" t="inlineStr">
        <is>
          <t>fanagoriya-beloe-polusladkoe</t>
        </is>
      </c>
      <c r="H2" t="inlineStr">
        <is>
          <t>fanagoriya-fanagoria-extra-brut-rose-2019-pino-nuar-igristoe-bryut-rozovoe-ekstra-bryut-12</t>
        </is>
      </c>
      <c r="I2" t="inlineStr">
        <is>
          <t>fanagoriya-zelyonoe-vino-risling-tsitronnyy-magaracha-merlo-rozovoe-polusuhoe-11</t>
        </is>
      </c>
      <c r="J2" t="inlineStr">
        <is>
          <t>fanagoriya-rose-saperavi-rozovoe-polusuhoe-125</t>
        </is>
      </c>
      <c r="K2">
        <f>IF(C2="","",IFERROR(MATCH(C2,F2:J2,0),"нет"))</f>
        <v/>
      </c>
      <c r="L2">
        <f>IF(C2="","",IF(K2=1,1,0))</f>
        <v/>
      </c>
      <c r="M2">
        <f>IF(C2="","",IF(ISNUMBER(K2),1,0))</f>
        <v/>
      </c>
      <c r="N2" t="inlineStr">
        <is>
          <t>Розовое полусладкое — Фанагория — Розовое полусладкое</t>
        </is>
      </c>
      <c r="O2" t="inlineStr">
        <is>
          <t>Фанагория белое полусладкое — Фанагория — Белое полусладкое</t>
        </is>
      </c>
      <c r="P2" t="inlineStr">
        <is>
          <t>Fanagoria Extra Brut Rose 2019 — Фанагория — Розовое экстра брют</t>
        </is>
      </c>
      <c r="Q2" t="inlineStr">
        <is>
          <t>Зелёное вино. Рислинг - Цитронный Магарача - Мерло — Фанагория — Розовое полусухое</t>
        </is>
      </c>
      <c r="R2" t="inlineStr">
        <is>
          <t>Rose. Саперави — Фанагория — Розовое полусухое</t>
        </is>
      </c>
    </row>
    <row r="3">
      <c r="A3" t="inlineStr">
        <is>
          <t>2.69_27-08-2026_14-29-00.webp</t>
        </is>
      </c>
      <c r="B3" t="inlineStr">
        <is>
          <t>нет в каталоге</t>
        </is>
      </c>
      <c r="F3" t="inlineStr">
        <is>
          <t>shato-pino-gravitatsiya-kaberne-sovinon-merlo-krasnoe-suhoe-135</t>
        </is>
      </c>
      <c r="G3" t="inlineStr">
        <is>
          <t>shato-pino-marselan-merlo-krasnoe-suhoe-13</t>
        </is>
      </c>
      <c r="H3" t="inlineStr">
        <is>
          <t>shato-pino-sovinon-blan-semilon-beloe-suhoe-115</t>
        </is>
      </c>
      <c r="I3" t="inlineStr">
        <is>
          <t>shato-pino-shato-pino-koldun-merlo-krasnoe-suhoe-137</t>
        </is>
      </c>
      <c r="J3" t="inlineStr">
        <is>
          <t>shato-pino-grand-reserve-pinot-noir-pino-nuar-krasnoe-suhoe-135</t>
        </is>
      </c>
      <c r="K3">
        <f>IF(C3="","",IFERROR(MATCH(C3,F3:J3,0),"нет"))</f>
        <v/>
      </c>
      <c r="L3">
        <f>IF(C3="","",IF(K3=1,1,0))</f>
        <v/>
      </c>
      <c r="M3">
        <f>IF(C3="","",IF(ISNUMBER(K3),1,0))</f>
        <v/>
      </c>
      <c r="N3" t="inlineStr">
        <is>
          <t>Гравитация. Каберне Совиньон - Мерло — Шато Пино — Красное сухое</t>
        </is>
      </c>
      <c r="O3" t="inlineStr">
        <is>
          <t>Марселан - Мерло — Шато Пино — Красное сухое</t>
        </is>
      </c>
      <c r="P3" t="inlineStr">
        <is>
          <t>Совиньон Блан - Семильон — Шато Пино — Белое сухое</t>
        </is>
      </c>
      <c r="Q3" t="inlineStr">
        <is>
          <t>Шато Пино «Колдун» — Шато Пино — Красное сухое</t>
        </is>
      </c>
      <c r="R3" t="inlineStr">
        <is>
          <t>Grand Reserve Pinot Noir — Шато Пино — Красное сухое</t>
        </is>
      </c>
    </row>
    <row r="4">
      <c r="A4" t="inlineStr">
        <is>
          <t>41.8_22-08-2026_20-56-40.webp</t>
        </is>
      </c>
      <c r="B4" t="inlineStr">
        <is>
          <t>нет в каталоге</t>
        </is>
      </c>
      <c r="F4" t="inlineStr">
        <is>
          <t>bakla-vines-pino-nuar-krasnoe-suhoe-125</t>
        </is>
      </c>
      <c r="G4" t="inlineStr">
        <is>
          <t>usadba-perovskih-pino-nuar-rezerv-krasnoe-suhoe-122</t>
        </is>
      </c>
      <c r="H4" t="inlineStr">
        <is>
          <t>usadba-mezyb-shishka-pino-nuar-rozovoe-suhoe-115</t>
        </is>
      </c>
      <c r="I4" t="inlineStr">
        <is>
          <t>pino-nuar-2025</t>
        </is>
      </c>
      <c r="J4" t="inlineStr">
        <is>
          <t>pino-nuar</t>
        </is>
      </c>
      <c r="K4">
        <f>IF(C4="","",IFERROR(MATCH(C4,F4:J4,0),"нет"))</f>
        <v/>
      </c>
      <c r="L4">
        <f>IF(C4="","",IF(K4=1,1,0))</f>
        <v/>
      </c>
      <c r="M4">
        <f>IF(C4="","",IF(ISNUMBER(K4),1,0))</f>
        <v/>
      </c>
      <c r="N4" t="inlineStr">
        <is>
          <t>Пино Нуар — Bakla Vines — Красное сухое</t>
        </is>
      </c>
      <c r="O4" t="inlineStr">
        <is>
          <t>Пино Нуар Резерв — Усадьба Перовских — Красное сухое</t>
        </is>
      </c>
      <c r="P4" t="inlineStr">
        <is>
          <t>Шишка. Пино Нуар — Усадьба Мезыбь — Розовое сухое</t>
        </is>
      </c>
      <c r="Q4" t="inlineStr">
        <is>
          <t>Пино Нуар, 2025 — Винодельня Братьев Мельниковых — Розовое сухое</t>
        </is>
      </c>
      <c r="R4" t="inlineStr">
        <is>
          <t>Пино Нуар — Галицкий и Галицкий — Красное сухое</t>
        </is>
      </c>
    </row>
    <row r="5">
      <c r="A5" t="inlineStr">
        <is>
          <t>48.98_02-09-2026_18-34-15.webp</t>
        </is>
      </c>
      <c r="B5" t="inlineStr">
        <is>
          <t>уверенно</t>
        </is>
      </c>
      <c r="C5" t="inlineStr">
        <is>
          <t>denisov_rubin_klaret_krasnaya_strelka</t>
        </is>
      </c>
      <c r="D5" t="inlineStr">
        <is>
          <t>Рубин кларет . Красная стрелка — Denisov Winery — Розовое сухое</t>
        </is>
      </c>
      <c r="F5" t="inlineStr">
        <is>
          <t>denisov_rubin_klaret_krasnaya_strelka</t>
        </is>
      </c>
      <c r="G5" t="inlineStr">
        <is>
          <t>denisov_pino_noir_klaret</t>
        </is>
      </c>
      <c r="H5" t="inlineStr">
        <is>
          <t>gunko-winery-krasnye-gliny-kaberne-fran-krasnoe-suhoe-14</t>
        </is>
      </c>
      <c r="I5" t="inlineStr">
        <is>
          <t>vinodelnya-pokrovskaya-pokrovskoe-sladkoe-krasnoe-kaberne-sovinon-13</t>
        </is>
      </c>
      <c r="J5" t="inlineStr">
        <is>
          <t>vinodelnya-konstantina-dzitoeva-kd-rezerv-merlo-krasnoe-suhoe-12</t>
        </is>
      </c>
      <c r="K5">
        <f>IF(C5="","",IFERROR(MATCH(C5,F5:J5,0),"нет"))</f>
        <v/>
      </c>
      <c r="L5">
        <f>IF(C5="","",IF(K5=1,1,0))</f>
        <v/>
      </c>
      <c r="M5">
        <f>IF(C5="","",IF(ISNUMBER(K5),1,0))</f>
        <v/>
      </c>
      <c r="N5" t="inlineStr">
        <is>
          <t>Рубин кларет . Красная стрелка — Denisov Winery — Розовое сухое</t>
        </is>
      </c>
      <c r="O5" t="inlineStr">
        <is>
          <t>Пино Нуар кларет. Красная стрелка — Denisov Winery — Розовое сухое</t>
        </is>
      </c>
      <c r="P5" t="inlineStr">
        <is>
          <t>Красные Глины — Gunko Winery — Красное сухое</t>
        </is>
      </c>
      <c r="Q5" t="inlineStr">
        <is>
          <t>Покровское сладкое красное — Винодельня Покровская — Красное сладкое</t>
        </is>
      </c>
      <c r="R5" t="inlineStr">
        <is>
          <t>KD Резерв — Винодельня Константина Дзитоева — Красное сухое</t>
        </is>
      </c>
    </row>
    <row r="6">
      <c r="A6" t="inlineStr">
        <is>
          <t>68.81_05-09-2026_15-46-31.webp</t>
        </is>
      </c>
      <c r="B6" t="inlineStr">
        <is>
          <t>нет в каталоге</t>
        </is>
      </c>
      <c r="F6" t="inlineStr">
        <is>
          <t>fanagoriya-velvet-season-muskat-ottonel-beloe-sladkoe-13</t>
        </is>
      </c>
      <c r="G6" t="inlineStr">
        <is>
          <t>fanagoriya-velvet-season-risling-beloe-sladkoe-12</t>
        </is>
      </c>
      <c r="H6" t="inlineStr">
        <is>
          <t>soyuz-vino-soyuz-vino-muskat-beloe-polusladkoe-11</t>
        </is>
      </c>
      <c r="I6" t="inlineStr">
        <is>
          <t>vinodelnya-myshako-muskat-avtorskaya-tehnologiya-mono-beloe-suhoe-128</t>
        </is>
      </c>
      <c r="J6" t="inlineStr">
        <is>
          <t>valeriy-zaharin-muskat-valeriy-zaharin-muskat-ottonel-beloe-polusladkoe-12</t>
        </is>
      </c>
      <c r="K6">
        <f>IF(C6="","",IFERROR(MATCH(C6,F6:J6,0),"нет"))</f>
        <v/>
      </c>
      <c r="L6">
        <f>IF(C6="","",IF(K6=1,1,0))</f>
        <v/>
      </c>
      <c r="M6">
        <f>IF(C6="","",IF(ISNUMBER(K6),1,0))</f>
        <v/>
      </c>
      <c r="N6" t="inlineStr">
        <is>
          <t>Velvet Season — Фанагория — Белое сладкое</t>
        </is>
      </c>
      <c r="O6" t="inlineStr">
        <is>
          <t>Velvet Season — Фанагория — Белое сладкое</t>
        </is>
      </c>
      <c r="P6" t="inlineStr">
        <is>
          <t>Союз-Вино Мускат — Союз-Вино — Белое полусладкое</t>
        </is>
      </c>
      <c r="Q6" t="inlineStr">
        <is>
          <t>Мускат. Авторская технология. Моно — Мысхако — Белое сухое</t>
        </is>
      </c>
      <c r="R6" t="inlineStr">
        <is>
          <t>Мускат. Валерий Захарьин — Валерий Захарьин — Белое полусладкое</t>
        </is>
      </c>
    </row>
    <row r="7">
      <c r="A7" t="inlineStr">
        <is>
          <t>70.45_04-09-2026_13-35-37.webp</t>
        </is>
      </c>
      <c r="B7" t="inlineStr">
        <is>
          <t>не уверен</t>
        </is>
      </c>
      <c r="C7" t="inlineStr">
        <is>
          <t>fanagoriya-formula-q-kaberne-sovinon-krasnoe-suhoe-135</t>
        </is>
      </c>
      <c r="D7" t="inlineStr">
        <is>
          <t>Формула Q — Фанагория — Красное сухое</t>
        </is>
      </c>
      <c r="E7" t="inlineStr">
        <is>
          <t>на фото слишком яркая этикетка, в каталоге более темная</t>
        </is>
      </c>
      <c r="F7" t="inlineStr">
        <is>
          <t>fanagoriya-formula-q-saperavi-krasnoe-suhoe-135</t>
        </is>
      </c>
      <c r="G7" t="inlineStr">
        <is>
          <t>fanagoriya-formula-q-kaberne-sovinon-krasnoe-suhoe-135</t>
        </is>
      </c>
      <c r="H7" t="inlineStr">
        <is>
          <t>fanagoriya-q-blanc-sovinon-blan-beloe-suhoe-14</t>
        </is>
      </c>
      <c r="I7" t="inlineStr">
        <is>
          <t>fanagoriya-q-bordeaux-blend-kaberne-sovinon-krasnoe-suhoe-135</t>
        </is>
      </c>
      <c r="J7" t="inlineStr">
        <is>
          <t>fanagoriya-beloe-polusladkoe</t>
        </is>
      </c>
      <c r="K7">
        <f>IF(C7="","",IFERROR(MATCH(C7,F7:J7,0),"нет"))</f>
        <v/>
      </c>
      <c r="L7">
        <f>IF(C7="","",IF(K7=1,1,0))</f>
        <v/>
      </c>
      <c r="M7">
        <f>IF(C7="","",IF(ISNUMBER(K7),1,0))</f>
        <v/>
      </c>
      <c r="N7" t="inlineStr">
        <is>
          <t>Formula Q — Фанагория — Красное сухое</t>
        </is>
      </c>
      <c r="O7" t="inlineStr">
        <is>
          <t>Формула Q — Фанагория — Красное сухое</t>
        </is>
      </c>
      <c r="P7" t="inlineStr">
        <is>
          <t>Q Blanc — Фанагория — Белое сухое</t>
        </is>
      </c>
      <c r="Q7" t="inlineStr">
        <is>
          <t>Q Bordeaux Blend — Фанагория — Красное сухое</t>
        </is>
      </c>
      <c r="R7" t="inlineStr">
        <is>
          <t>Фанагория белое полусладкое — Фанагория — Белое полусладкое</t>
        </is>
      </c>
    </row>
    <row r="8">
      <c r="A8" t="inlineStr">
        <is>
          <t>72.97_09-09-2026_19-38-57.webp</t>
        </is>
      </c>
      <c r="B8" t="inlineStr">
        <is>
          <t>нет в каталоге</t>
        </is>
      </c>
      <c r="F8" t="inlineStr">
        <is>
          <t>shato-pino-gravitatsiya-kaberne-sovinon-merlo-krasnoe-suhoe-135</t>
        </is>
      </c>
      <c r="G8" t="inlineStr">
        <is>
          <t>shato-pino-marselan-merlo-krasnoe-suhoe-13</t>
        </is>
      </c>
      <c r="H8" t="inlineStr">
        <is>
          <t>shato-pino-grand-reserve-pinot-noir-pino-nuar-krasnoe-suhoe-135</t>
        </is>
      </c>
      <c r="I8" t="inlineStr">
        <is>
          <t>shato-pino-sovinon-blan-semilon-beloe-suhoe-115</t>
        </is>
      </c>
      <c r="J8" t="inlineStr">
        <is>
          <t>shato-pino-grand-reserve-chardonnay-shardone-beloe-suhoe-125</t>
        </is>
      </c>
      <c r="K8">
        <f>IF(C8="","",IFERROR(MATCH(C8,F8:J8,0),"нет"))</f>
        <v/>
      </c>
      <c r="L8">
        <f>IF(C8="","",IF(K8=1,1,0))</f>
        <v/>
      </c>
      <c r="M8">
        <f>IF(C8="","",IF(ISNUMBER(K8),1,0))</f>
        <v/>
      </c>
      <c r="N8" t="inlineStr">
        <is>
          <t>Гравитация. Каберне Совиньон - Мерло — Шато Пино — Красное сухое</t>
        </is>
      </c>
      <c r="O8" t="inlineStr">
        <is>
          <t>Марселан - Мерло — Шато Пино — Красное сухое</t>
        </is>
      </c>
      <c r="P8" t="inlineStr">
        <is>
          <t>Grand Reserve Pinot Noir — Шато Пино — Красное сухое</t>
        </is>
      </c>
      <c r="Q8" t="inlineStr">
        <is>
          <t>Совиньон Блан - Семильон — Шато Пино — Белое сухое</t>
        </is>
      </c>
      <c r="R8" t="inlineStr">
        <is>
          <t>Grand Reserve Chardonnay — Шато Пино — Белое сухое</t>
        </is>
      </c>
    </row>
    <row r="9">
      <c r="A9" t="inlineStr">
        <is>
          <t>82.33_27-08-2026_10-03-52.webp</t>
        </is>
      </c>
      <c r="B9" t="inlineStr">
        <is>
          <t>уверенно</t>
        </is>
      </c>
      <c r="C9" t="inlineStr">
        <is>
          <t>skalistyj-bereg-shepot-czvetov</t>
        </is>
      </c>
      <c r="D9" t="inlineStr">
        <is>
          <t>Скалистый берег Шепот цветов — Скалистый берег — Белое сухое</t>
        </is>
      </c>
      <c r="F9" t="inlineStr">
        <is>
          <t>skalistyj-bereg-shepot-czvetov</t>
        </is>
      </c>
      <c r="G9" t="inlineStr">
        <is>
          <t>skalistyy-bereg-melodiya-leta-krasnostop-zolotovskiy-rozovoe-suhoe-126</t>
        </is>
      </c>
      <c r="H9" t="inlineStr">
        <is>
          <t>skalistyy-bereg-dyhanie-voln-shardone-beloe-suhoe-121</t>
        </is>
      </c>
      <c r="I9" t="inlineStr">
        <is>
          <t>vysokij-bereg-czvajgelt</t>
        </is>
      </c>
      <c r="J9" t="inlineStr">
        <is>
          <t>kuban-vino-vysokiy-bereg-grafit-roze-kaberne-sovinon-rozovoe-suhoe-12</t>
        </is>
      </c>
      <c r="K9">
        <f>IF(C9="","",IFERROR(MATCH(C9,F9:J9,0),"нет"))</f>
        <v/>
      </c>
      <c r="L9">
        <f>IF(C9="","",IF(K9=1,1,0))</f>
        <v/>
      </c>
      <c r="M9">
        <f>IF(C9="","",IF(ISNUMBER(K9),1,0))</f>
        <v/>
      </c>
      <c r="N9" t="inlineStr">
        <is>
          <t>Скалистый берег Шепот цветов — Скалистый берег — Белое сухое</t>
        </is>
      </c>
      <c r="O9" t="inlineStr">
        <is>
          <t>Мелодия лета — Скалистый берег — Розовое сухое</t>
        </is>
      </c>
      <c r="P9" t="inlineStr">
        <is>
          <t>Дыхание волн — Скалистый берег — Белое сухое</t>
        </is>
      </c>
      <c r="Q9" t="inlineStr">
        <is>
          <t>Высокий Берег Цвайгельт — Кубань-Вино — Розовое сухое</t>
        </is>
      </c>
      <c r="R9" t="inlineStr">
        <is>
          <t>Высокий Берег Графит Розе — Кубань-Вино — Розовое сухое</t>
        </is>
      </c>
    </row>
    <row r="10">
      <c r="A10" t="inlineStr">
        <is>
          <t>84.73_07-09-2026_11-07-51.webp</t>
        </is>
      </c>
      <c r="B10" t="inlineStr">
        <is>
          <t>уверенно</t>
        </is>
      </c>
      <c r="C10" t="inlineStr">
        <is>
          <t>zhemchuzhnaya-9-aligote-czitron</t>
        </is>
      </c>
      <c r="D10" t="inlineStr">
        <is>
          <t>Жемчужная 9 Алиготе, Цитрон — АРАТТИ — Белое сухое</t>
        </is>
      </c>
      <c r="F10" t="inlineStr">
        <is>
          <t>zhemchuzhnaya-9-aligote-czitron</t>
        </is>
      </c>
      <c r="G10" t="inlineStr">
        <is>
          <t>zhemchuzhnaya-9-czitron-shardone</t>
        </is>
      </c>
      <c r="H10" t="inlineStr">
        <is>
          <t>zhemchuzhnaya-9-czitron-shardone-1</t>
        </is>
      </c>
      <c r="I10" t="inlineStr">
        <is>
          <t>zhemchuzhnaya-9-sovinon-blan-aligote</t>
        </is>
      </c>
      <c r="J10" t="inlineStr">
        <is>
          <t>czitronnyj-magaracha-sovinon-blan</t>
        </is>
      </c>
      <c r="K10">
        <f>IF(C10="","",IFERROR(MATCH(C10,F10:J10,0),"нет"))</f>
        <v/>
      </c>
      <c r="L10">
        <f>IF(C10="","",IF(K10=1,1,0))</f>
        <v/>
      </c>
      <c r="M10">
        <f>IF(C10="","",IF(ISNUMBER(K10),1,0))</f>
        <v/>
      </c>
      <c r="N10" t="inlineStr">
        <is>
          <t>Жемчужная 9 Алиготе, Цитрон — АРАТТИ — Белое сухое</t>
        </is>
      </c>
      <c r="O10" t="inlineStr">
        <is>
          <t>Жемчужная 9 Цитрон, Шардоне — АРАТТИ — Белое сухое</t>
        </is>
      </c>
      <c r="P10" t="inlineStr">
        <is>
          <t>Жемчужная 9 Цитрон, Шардоне — АРАТТИ — Белое полусладкое</t>
        </is>
      </c>
      <c r="Q10" t="inlineStr">
        <is>
          <t>Жемчужная 9 Совиньон блан, Алиготе — АРАТТИ — Белое сухое</t>
        </is>
      </c>
      <c r="R10" t="inlineStr">
        <is>
          <t>Жемчужная 9 Цитрон, Совиньон блан — АРАТТИ — Белое полусухое</t>
        </is>
      </c>
    </row>
    <row r="11">
      <c r="A11" t="inlineStr">
        <is>
          <t>87.09_22-08-2026_20-57-16.webp</t>
        </is>
      </c>
      <c r="B11" t="inlineStr">
        <is>
          <t>уверенно</t>
        </is>
      </c>
      <c r="C11" t="inlineStr">
        <is>
          <t>pobeda</t>
        </is>
      </c>
      <c r="D11" t="inlineStr">
        <is>
          <t>Победа — Табия — Красное сухое</t>
        </is>
      </c>
      <c r="F11" t="inlineStr">
        <is>
          <t>pobeda</t>
        </is>
      </c>
      <c r="G11" t="inlineStr">
        <is>
          <t>rubin-golodrigi</t>
        </is>
      </c>
      <c r="H11" t="inlineStr">
        <is>
          <t>kaberne-sovinon-2</t>
        </is>
      </c>
      <c r="I11" t="inlineStr">
        <is>
          <t>vinodelnya-begildeeva-kaberne-sovinon-krasnoe-suhoe-14</t>
        </is>
      </c>
      <c r="J11" t="inlineStr">
        <is>
          <t>bukovinka</t>
        </is>
      </c>
      <c r="K11">
        <f>IF(C11="","",IFERROR(MATCH(C11,F11:J11,0),"нет"))</f>
        <v/>
      </c>
      <c r="L11">
        <f>IF(C11="","",IF(K11=1,1,0))</f>
        <v/>
      </c>
      <c r="M11">
        <f>IF(C11="","",IF(ISNUMBER(K11),1,0))</f>
        <v/>
      </c>
      <c r="N11" t="inlineStr">
        <is>
          <t>Победа — Табия — Красное сухое</t>
        </is>
      </c>
      <c r="O11" t="inlineStr">
        <is>
          <t>Рубин Голодриги  — Табия — Красное сухое</t>
        </is>
      </c>
      <c r="P11" t="inlineStr">
        <is>
          <t>Каберне Совиньон — Табия — Красное сухое</t>
        </is>
      </c>
      <c r="Q11" t="inlineStr">
        <is>
          <t>Каберне Совиньон — Винодельня Бегильдеева — Красное сухое</t>
        </is>
      </c>
      <c r="R11" t="inlineStr">
        <is>
          <t>Буковинка — Табия — Белое полусухое</t>
        </is>
      </c>
    </row>
    <row r="12">
      <c r="A12" t="inlineStr">
        <is>
          <t>87.54_03-09-2026_13-27-53.webp</t>
        </is>
      </c>
      <c r="B12" t="inlineStr">
        <is>
          <t>уверенно</t>
        </is>
      </c>
      <c r="C12" t="inlineStr">
        <is>
          <t>relikta-relikta-sira-kaberne-fran-krasnoe-suhoe-13</t>
        </is>
      </c>
      <c r="D12" t="inlineStr">
        <is>
          <t>Реликта Сира, Каберне Фран — Реликта — Красное сухое</t>
        </is>
      </c>
      <c r="F12" t="inlineStr">
        <is>
          <t>relikta-relikta-sira-kaberne-fran-krasnoe-suhoe-13</t>
        </is>
      </c>
      <c r="G12" t="inlineStr">
        <is>
          <t>relikta-relikta-sira-krasnoe-suhoe-13</t>
        </is>
      </c>
      <c r="H12" t="inlineStr">
        <is>
          <t>relikta-relikta-kaberne-sovinon-krasnoe-suhoe-135</t>
        </is>
      </c>
      <c r="I12" t="inlineStr">
        <is>
          <t>relikta-relikta-merlo-kaberne-sovinon-krasnoe-suhoe-135</t>
        </is>
      </c>
      <c r="J12" t="inlineStr">
        <is>
          <t>relikta-relikta-merlo-krasnoe-suhoe-135</t>
        </is>
      </c>
      <c r="K12">
        <f>IF(C12="","",IFERROR(MATCH(C12,F12:J12,0),"нет"))</f>
        <v/>
      </c>
      <c r="L12">
        <f>IF(C12="","",IF(K12=1,1,0))</f>
        <v/>
      </c>
      <c r="M12">
        <f>IF(C12="","",IF(ISNUMBER(K12),1,0))</f>
        <v/>
      </c>
      <c r="N12" t="inlineStr">
        <is>
          <t>Реликта Сира, Каберне Фран — Реликта — Красное сухое</t>
        </is>
      </c>
      <c r="O12" t="inlineStr">
        <is>
          <t>Реликта Сира — Реликта — Красное сухое</t>
        </is>
      </c>
      <c r="P12" t="inlineStr">
        <is>
          <t>Реликта Каберне Совиньон — Реликта — Красное сухое</t>
        </is>
      </c>
      <c r="Q12" t="inlineStr">
        <is>
          <t>Реликта Мерло, Каберне Совиньон — Реликта — Красное сухое</t>
        </is>
      </c>
      <c r="R12" t="inlineStr">
        <is>
          <t>Реликта Мерло — Реликта — Красное сухое</t>
        </is>
      </c>
    </row>
    <row r="13">
      <c r="A13" t="inlineStr">
        <is>
          <t>87.6_20-08-2026_19-56-56.webp</t>
        </is>
      </c>
      <c r="B13" t="inlineStr">
        <is>
          <t>не уверен</t>
        </is>
      </c>
      <c r="C13" t="inlineStr">
        <is>
          <t>leto-shardone-2023-suhoe-beloe</t>
        </is>
      </c>
      <c r="D13" t="inlineStr">
        <is>
          <t>LETO Шардоне 2023 сухое белое — LETO — Белое сухое</t>
        </is>
      </c>
      <c r="E13" t="inlineStr">
        <is>
          <t>есть такое, но на фото черная этикетка вместо белой</t>
        </is>
      </c>
      <c r="F13" t="inlineStr">
        <is>
          <t>vinodelnya-uzunov-shardone-rezerv-beloe-suhoe-135</t>
        </is>
      </c>
      <c r="G13" t="inlineStr">
        <is>
          <t>vinodelnya-konstantina-dzitoeva-kd-shardone-beloe-suhoe-128</t>
        </is>
      </c>
      <c r="H13" t="inlineStr">
        <is>
          <t>vinodelnya-uzunov-rash-rezerv-risling-reynskiy-beloe-suhoe-127</t>
        </is>
      </c>
      <c r="I13" t="inlineStr">
        <is>
          <t>shardone-rezerv</t>
        </is>
      </c>
      <c r="J13" t="inlineStr">
        <is>
          <t>vinodelnya-myshako-shardone-avtorskaya-tehnologiya-beloe-suhoe-155</t>
        </is>
      </c>
      <c r="K13">
        <f>IF(C13="","",IFERROR(MATCH(C13,F13:J13,0),"нет"))</f>
        <v/>
      </c>
      <c r="L13">
        <f>IF(C13="","",IF(K13=1,1,0))</f>
        <v/>
      </c>
      <c r="M13">
        <f>IF(C13="","",IF(ISNUMBER(K13),1,0))</f>
        <v/>
      </c>
      <c r="N13" t="inlineStr">
        <is>
          <t>Шардоне Резерв — Винодельня Узунов — Белое сухое</t>
        </is>
      </c>
      <c r="O13" t="inlineStr">
        <is>
          <t>KD Шардоне — Винодельня Константина Дзитоева — Белое сухое</t>
        </is>
      </c>
      <c r="P13" t="inlineStr">
        <is>
          <t>РАШ Резерв — Винодельня Узунов — Белое сухое</t>
        </is>
      </c>
      <c r="Q13" t="inlineStr">
        <is>
          <t>Шардоне Резерв — Усадьба Перовских — Белое сухое</t>
        </is>
      </c>
      <c r="R13" t="inlineStr">
        <is>
          <t>Шардоне авторская технология — Мысхако — Белое сухое</t>
        </is>
      </c>
    </row>
    <row r="14">
      <c r="A14" t="inlineStr">
        <is>
          <t>87.81_09-09-2026_17-16-36.webp</t>
        </is>
      </c>
      <c r="B14" t="inlineStr">
        <is>
          <t>не уверен</t>
        </is>
      </c>
      <c r="C14" t="inlineStr">
        <is>
          <t>aya-organic-wine-vineyards-purity-in-chenin-blanc-shenen-blan-beloe-suhoe-11</t>
        </is>
      </c>
      <c r="D14" t="inlineStr">
        <is>
          <t>Purity in Chenin Blanc — AYA Organic Wine &amp; Vineyards — Белое сухое</t>
        </is>
      </c>
      <c r="E14" t="inlineStr">
        <is>
          <t>есть похожее, но в названии вместо in balance написано in-chenin-blanc</t>
        </is>
      </c>
      <c r="F14" t="inlineStr">
        <is>
          <t>aya-organic-wine-vineyards-purity-in-syrah-sira-rozovoe-suhoe-132</t>
        </is>
      </c>
      <c r="G14" t="inlineStr">
        <is>
          <t>aya-organic-wine-vineyards-purity-in-trinity-pino-nuar-rozovoe-suhoe-13</t>
        </is>
      </c>
      <c r="H14" t="inlineStr">
        <is>
          <t>aya-organic-wine-vineyards-purity-in-syrah-sira-krasnoe-suhoe-146</t>
        </is>
      </c>
      <c r="I14" t="inlineStr">
        <is>
          <t>aya-organic-wine-vineyards-purity-in-merlot-merlo-rozovoe-suhoe-134</t>
        </is>
      </c>
      <c r="J14" t="inlineStr">
        <is>
          <t>aya-organic-wine-vineyards-purity-in-chenin-blanc-shenen-blan-beloe-suhoe-11</t>
        </is>
      </c>
      <c r="K14">
        <f>IF(C14="","",IFERROR(MATCH(C14,F14:J14,0),"нет"))</f>
        <v/>
      </c>
      <c r="L14">
        <f>IF(C14="","",IF(K14=1,1,0))</f>
        <v/>
      </c>
      <c r="M14">
        <f>IF(C14="","",IF(ISNUMBER(K14),1,0))</f>
        <v/>
      </c>
      <c r="N14" t="inlineStr">
        <is>
          <t>Purity in Syrah — AYA Organic Wine &amp; Vineyards — Розовое сухое</t>
        </is>
      </c>
      <c r="O14" t="inlineStr">
        <is>
          <t>Purity in Trinity — AYA Organic Wine &amp; Vineyards — Розовое сухое</t>
        </is>
      </c>
      <c r="P14" t="inlineStr">
        <is>
          <t>Purity in Syrah — AYA Organic Wine &amp; Vineyards — Красное сухое</t>
        </is>
      </c>
      <c r="Q14" t="inlineStr">
        <is>
          <t>Purity in Merlot — AYA Organic Wine &amp; Vineyards — Розовое сухое</t>
        </is>
      </c>
      <c r="R14" t="inlineStr">
        <is>
          <t>Purity in Chenin Blanc — AYA Organic Wine &amp; Vineyards — Белое сухое</t>
        </is>
      </c>
    </row>
    <row r="15">
      <c r="A15" t="inlineStr">
        <is>
          <t>87.88_28-08-2026_16-56-20.webp</t>
        </is>
      </c>
      <c r="B15" t="inlineStr">
        <is>
          <t>не уверен</t>
        </is>
      </c>
      <c r="C15" t="inlineStr">
        <is>
          <t>massandra-muskatel-belyy-belye-sorta-vinograda-beloe-sladkoe-16</t>
        </is>
      </c>
      <c r="D15" t="inlineStr">
        <is>
          <t>Мускатель белый — Массандра — Белое сладкое</t>
        </is>
      </c>
      <c r="E15" t="inlineStr">
        <is>
          <t>есть такое, но год урожая отличается</t>
        </is>
      </c>
      <c r="F15" t="inlineStr">
        <is>
          <t>massandra-muskatel-belyy-belye-sorta-vinograda-beloe-sladkoe-16</t>
        </is>
      </c>
      <c r="G15" t="inlineStr">
        <is>
          <t>massandra-muskat-belyy-krasnogo-kamnya-beloe-sladkoe-13</t>
        </is>
      </c>
      <c r="H15" t="inlineStr">
        <is>
          <t>massandra-muskatel-rozovyy-belye-sorta-vinograda-rozovoe-sladkoe-16</t>
        </is>
      </c>
      <c r="I15" t="inlineStr">
        <is>
          <t>massandra-muskatel-chernyy-krasnye-sorta-vinograda-krasnoe-sladkoe-16</t>
        </is>
      </c>
      <c r="J15" t="inlineStr">
        <is>
          <t>massandra-muskat-belyy-yuzhnoberezhnyy-beloe-sladkoe-16</t>
        </is>
      </c>
      <c r="K15">
        <f>IF(C15="","",IFERROR(MATCH(C15,F15:J15,0),"нет"))</f>
        <v/>
      </c>
      <c r="L15">
        <f>IF(C15="","",IF(K15=1,1,0))</f>
        <v/>
      </c>
      <c r="M15">
        <f>IF(C15="","",IF(ISNUMBER(K15),1,0))</f>
        <v/>
      </c>
      <c r="N15" t="inlineStr">
        <is>
          <t>Мускатель белый — Массандра — Белое сладкое</t>
        </is>
      </c>
      <c r="O15" t="inlineStr">
        <is>
          <t>Мускат белый красного камня — Массандра — Белое сладкое</t>
        </is>
      </c>
      <c r="P15" t="inlineStr">
        <is>
          <t>Мускатель розовый — Массандра — Розовое сладкое</t>
        </is>
      </c>
      <c r="Q15" t="inlineStr">
        <is>
          <t>Мускатель черный — Массандра — Красное сладкое</t>
        </is>
      </c>
      <c r="R15" t="inlineStr">
        <is>
          <t>Мускат Белый Южнобережный — Массандра — Белое сладкое</t>
        </is>
      </c>
    </row>
    <row r="16">
      <c r="A16" t="inlineStr">
        <is>
          <t>88.2_05-09-2026_16-29-06.webp</t>
        </is>
      </c>
      <c r="B16" t="inlineStr">
        <is>
          <t>нет в каталоге</t>
        </is>
      </c>
      <c r="F16" t="inlineStr">
        <is>
          <t>inkerman-shato-ruzh</t>
        </is>
      </c>
      <c r="G16" t="inlineStr">
        <is>
          <t>vinodelnya-begildeeva-kaberne-sovinon-krasnoe-suhoe-14</t>
        </is>
      </c>
      <c r="H16" t="inlineStr">
        <is>
          <t>inkermanskiy-zmv-winemakers-selection-saperavi-krasnoe-polusladkoe-12</t>
        </is>
      </c>
      <c r="I16" t="inlineStr">
        <is>
          <t>kuban-vino-kaberne-de-tamane-kaberne-sovinon-krasnoe-suhoe-125</t>
        </is>
      </c>
      <c r="J16" t="inlineStr">
        <is>
          <t>inkerman-shato-blan</t>
        </is>
      </c>
      <c r="K16">
        <f>IF(C16="","",IFERROR(MATCH(C16,F16:J16,0),"нет"))</f>
        <v/>
      </c>
      <c r="L16">
        <f>IF(C16="","",IF(K16=1,1,0))</f>
        <v/>
      </c>
      <c r="M16">
        <f>IF(C16="","",IF(ISNUMBER(K16),1,0))</f>
        <v/>
      </c>
      <c r="N16" t="inlineStr">
        <is>
          <t>Inkerman Шато Руж — Инкерманский ЗМВ — Красное полусухое</t>
        </is>
      </c>
      <c r="O16" t="inlineStr">
        <is>
          <t>Каберне Совиньон — Винодельня Бегильдеева — Красное сухое</t>
        </is>
      </c>
      <c r="P16" t="inlineStr">
        <is>
          <t>Winemaker's Selection Саперави — Инкерманский ЗМВ — Красное полусладкое</t>
        </is>
      </c>
      <c r="Q16" t="inlineStr">
        <is>
          <t>Каберне де Тамань — Кубань-Вино — Красное сухое</t>
        </is>
      </c>
      <c r="R16" t="inlineStr">
        <is>
          <t>Инкерман Шато Блан — Инкерманский ЗМВ — Белое полусухое</t>
        </is>
      </c>
    </row>
    <row r="17">
      <c r="A17" t="inlineStr">
        <is>
          <t>88.38_20-08-2026_18-32-58.webp</t>
        </is>
      </c>
      <c r="B17" t="inlineStr">
        <is>
          <t>уверенно</t>
        </is>
      </c>
      <c r="C17" t="inlineStr">
        <is>
          <t>czitronnyj-magaracha-sovinon-blan</t>
        </is>
      </c>
      <c r="D17" t="inlineStr">
        <is>
          <t>Жемчужная 9 Цитрон, Совиньон блан — АРАТТИ — Белое полусухое</t>
        </is>
      </c>
      <c r="F17" t="inlineStr">
        <is>
          <t>czitronnyj-magaracha-sovinon-blan</t>
        </is>
      </c>
      <c r="G17" t="inlineStr">
        <is>
          <t>zhemchuzhnaya-9-risling-sovinon-blan</t>
        </is>
      </c>
      <c r="H17" t="inlineStr">
        <is>
          <t>zhemchuzhnaya-9-aligote-czitron</t>
        </is>
      </c>
      <c r="I17" t="inlineStr">
        <is>
          <t>zhemchuzhnaya-9-czitron-shardone</t>
        </is>
      </c>
      <c r="J17" t="inlineStr">
        <is>
          <t>zhemchuzhnaya-9-czitron-shardone-1</t>
        </is>
      </c>
      <c r="K17">
        <f>IF(C17="","",IFERROR(MATCH(C17,F17:J17,0),"нет"))</f>
        <v/>
      </c>
      <c r="L17">
        <f>IF(C17="","",IF(K17=1,1,0))</f>
        <v/>
      </c>
      <c r="M17">
        <f>IF(C17="","",IF(ISNUMBER(K17),1,0))</f>
        <v/>
      </c>
      <c r="N17" t="inlineStr">
        <is>
          <t>Жемчужная 9 Цитрон, Совиньон блан — АРАТТИ — Белое полусухое</t>
        </is>
      </c>
      <c r="O17" t="inlineStr">
        <is>
          <t>Жемчужная 9 Рислинг,Совиньон блан — АРАТТИ — Белое полусухое</t>
        </is>
      </c>
      <c r="P17" t="inlineStr">
        <is>
          <t>Жемчужная 9 Алиготе, Цитрон — АРАТТИ — Белое сухое</t>
        </is>
      </c>
      <c r="Q17" t="inlineStr">
        <is>
          <t>Жемчужная 9 Цитрон, Шардоне — АРАТТИ — Белое сухое</t>
        </is>
      </c>
      <c r="R17" t="inlineStr">
        <is>
          <t>Жемчужная 9 Цитрон, Шардоне — АРАТТИ — Белое полусладкое</t>
        </is>
      </c>
    </row>
    <row r="18">
      <c r="A18" t="inlineStr">
        <is>
          <t>89.65_19-08-2026_19-48-39.webp</t>
        </is>
      </c>
      <c r="B18" t="inlineStr">
        <is>
          <t>уверенно</t>
        </is>
      </c>
      <c r="C18" t="inlineStr">
        <is>
          <t>rozovoe-zoloto</t>
        </is>
      </c>
      <c r="D18" t="inlineStr">
        <is>
          <t>Розовое золото — Табия — Розовое полусухое</t>
        </is>
      </c>
      <c r="F18" t="inlineStr">
        <is>
          <t>rozovoe-zoloto</t>
        </is>
      </c>
      <c r="G18" t="inlineStr">
        <is>
          <t>roze-2</t>
        </is>
      </c>
      <c r="H18" t="inlineStr">
        <is>
          <t>bukovinka</t>
        </is>
      </c>
      <c r="I18" t="inlineStr">
        <is>
          <t>rozovaya-pantera</t>
        </is>
      </c>
      <c r="J18" t="inlineStr">
        <is>
          <t>rubin-golodrigi</t>
        </is>
      </c>
      <c r="K18">
        <f>IF(C18="","",IFERROR(MATCH(C18,F18:J18,0),"нет"))</f>
        <v/>
      </c>
      <c r="L18">
        <f>IF(C18="","",IF(K18=1,1,0))</f>
        <v/>
      </c>
      <c r="M18">
        <f>IF(C18="","",IF(ISNUMBER(K18),1,0))</f>
        <v/>
      </c>
      <c r="N18" t="inlineStr">
        <is>
          <t>Розовое золото — Табия — Розовое полусухое</t>
        </is>
      </c>
      <c r="O18" t="inlineStr">
        <is>
          <t>Розе — Табия — Розовое сухое</t>
        </is>
      </c>
      <c r="P18" t="inlineStr">
        <is>
          <t>Буковинка — Табия — Белое полусухое</t>
        </is>
      </c>
      <c r="Q18" t="inlineStr">
        <is>
          <t>Розовая Пантера полусладкое розовое — АРАТТИ — Розовое полусладкое</t>
        </is>
      </c>
      <c r="R18" t="inlineStr">
        <is>
          <t>Рубин Голодриги  — Табия — Красное сухое</t>
        </is>
      </c>
    </row>
    <row r="19">
      <c r="A19" t="inlineStr">
        <is>
          <t>90.5_02-09-2026_10-32-11.webp</t>
        </is>
      </c>
      <c r="B19" t="inlineStr">
        <is>
          <t>нет в каталоге</t>
        </is>
      </c>
      <c r="F19" t="inlineStr">
        <is>
          <t>inkerman-shato-ruzh</t>
        </is>
      </c>
      <c r="G19" t="inlineStr">
        <is>
          <t>inkerman-shato-blan</t>
        </is>
      </c>
      <c r="H19" t="inlineStr">
        <is>
          <t>inkerman-muskatnoe-beloe</t>
        </is>
      </c>
      <c r="I19" t="inlineStr">
        <is>
          <t>inkermanskiy-zmv-inkerman-polusladkoe-roze-aligote-rozovoe-135</t>
        </is>
      </c>
      <c r="J19" t="inlineStr">
        <is>
          <t>inkermanskiy-zmv-inkerman-rozovoe-polusladkoe-rkatsiteli-12</t>
        </is>
      </c>
      <c r="K19">
        <f>IF(C19="","",IFERROR(MATCH(C19,F19:J19,0),"нет"))</f>
        <v/>
      </c>
      <c r="L19">
        <f>IF(C19="","",IF(K19=1,1,0))</f>
        <v/>
      </c>
      <c r="M19">
        <f>IF(C19="","",IF(ISNUMBER(K19),1,0))</f>
        <v/>
      </c>
      <c r="N19" t="inlineStr">
        <is>
          <t>Inkerman Шато Руж — Инкерманский ЗМВ — Красное полусухое</t>
        </is>
      </c>
      <c r="O19" t="inlineStr">
        <is>
          <t>Инкерман Шато Блан — Инкерманский ЗМВ — Белое полусухое</t>
        </is>
      </c>
      <c r="P19" t="inlineStr">
        <is>
          <t>Inkerman Мускатное белое — Инкерманский ЗМВ — Белое полусладкое</t>
        </is>
      </c>
      <c r="Q19" t="inlineStr">
        <is>
          <t>Inkerman полусладкое розе — Инкерманский ЗМВ — Розовое полусладкое</t>
        </is>
      </c>
      <c r="R19" t="inlineStr">
        <is>
          <t>Инкерман Розовое полусладкое — Инкерманский ЗМВ — Розовое полусладкое</t>
        </is>
      </c>
    </row>
    <row r="20">
      <c r="A20" t="inlineStr">
        <is>
          <t>91.07_20-08-2026_18-37-46.webp</t>
        </is>
      </c>
      <c r="B20" t="inlineStr">
        <is>
          <t>уверенно</t>
        </is>
      </c>
      <c r="C20" t="inlineStr">
        <is>
          <t>aratti-kaberne-sovinon-2021-krasnoe-suhoe</t>
        </is>
      </c>
      <c r="D20" t="inlineStr">
        <is>
          <t>АРАТТИ Каберне Совиньон 2021 красное сухое — АРАТТИ — Красное сухое</t>
        </is>
      </c>
      <c r="F20" t="inlineStr">
        <is>
          <t>aratti-kaberne-sovinon-2021-krasnoe-suhoe</t>
        </is>
      </c>
      <c r="G20" t="inlineStr">
        <is>
          <t>aratti-kaberne-sovinon-2020-krasnoe-suhoe</t>
        </is>
      </c>
      <c r="H20" t="inlineStr">
        <is>
          <t>aratti-kaberne-po-belomu</t>
        </is>
      </c>
      <c r="I20" t="inlineStr">
        <is>
          <t>aratti-kaberne-po-belomu-1</t>
        </is>
      </c>
      <c r="J20" t="inlineStr">
        <is>
          <t>aratti-sovinon-blan-beloe-polusuhoe</t>
        </is>
      </c>
      <c r="K20">
        <f>IF(C20="","",IFERROR(MATCH(C20,F20:J20,0),"нет"))</f>
        <v/>
      </c>
      <c r="L20">
        <f>IF(C20="","",IF(K20=1,1,0))</f>
        <v/>
      </c>
      <c r="M20">
        <f>IF(C20="","",IF(ISNUMBER(K20),1,0))</f>
        <v/>
      </c>
      <c r="N20" t="inlineStr">
        <is>
          <t>АРАТТИ Каберне Совиньон 2021 красное сухое — АРАТТИ — Красное сухое</t>
        </is>
      </c>
      <c r="O20" t="inlineStr">
        <is>
          <t>АРАТТИ Каберне Совиньон 2020 красное сухое — АРАТТИ — Красное сухое</t>
        </is>
      </c>
      <c r="P20" t="inlineStr">
        <is>
          <t>АРАТТИ Каберне по-белому — АРАТТИ — Красное сухое</t>
        </is>
      </c>
      <c r="Q20" t="inlineStr">
        <is>
          <t>АРАТТИ Каберне по-белому — АРАТТИ — Розовое полусухое</t>
        </is>
      </c>
      <c r="R20" t="inlineStr">
        <is>
          <t>АРАТТИ Совиньон блан белое полусухое — АРАТТИ — Белое полусухое</t>
        </is>
      </c>
    </row>
    <row r="21">
      <c r="A21" t="inlineStr">
        <is>
          <t>91.43_02-09-2026_12-08-50.webp</t>
        </is>
      </c>
      <c r="B21" t="inlineStr">
        <is>
          <t>уверенно</t>
        </is>
      </c>
      <c r="C21" t="inlineStr">
        <is>
          <t>merlo-2</t>
        </is>
      </c>
      <c r="D21" t="inlineStr">
        <is>
          <t>Мерло — Литавщук. Litavshchuk vineyards &amp; winery — Красное сухое</t>
        </is>
      </c>
      <c r="F21" t="inlineStr">
        <is>
          <t>merlo-2</t>
        </is>
      </c>
      <c r="G21" t="inlineStr">
        <is>
          <t>vinodelnya-begildeeva-merlo-krasnoe-suhoe-14</t>
        </is>
      </c>
      <c r="H21" t="inlineStr">
        <is>
          <t>vinodelnya-begildeeva-kaberne-sovinon-merlo-krasnoe-suhoe-14</t>
        </is>
      </c>
      <c r="I21" t="inlineStr">
        <is>
          <t>merlo</t>
        </is>
      </c>
      <c r="J21" t="inlineStr">
        <is>
          <t>vinnyy-kooperativ-intuitsiya-kaberne-sovinon-merlo-saperavi-krasnoe-suhoe-128</t>
        </is>
      </c>
      <c r="K21">
        <f>IF(C21="","",IFERROR(MATCH(C21,F21:J21,0),"нет"))</f>
        <v/>
      </c>
      <c r="L21">
        <f>IF(C21="","",IF(K21=1,1,0))</f>
        <v/>
      </c>
      <c r="M21">
        <f>IF(C21="","",IF(ISNUMBER(K21),1,0))</f>
        <v/>
      </c>
      <c r="N21" t="inlineStr">
        <is>
          <t>Мерло — Литавщук. Litavshchuk vineyards &amp; winery — Красное сухое</t>
        </is>
      </c>
      <c r="O21" t="inlineStr">
        <is>
          <t>Мерло — Винодельня Бегильдеева — Красное сухое</t>
        </is>
      </c>
      <c r="P21" t="inlineStr">
        <is>
          <t>Каберне Совиньон – Мерло — Винодельня Бегильдеева — Красное сухое</t>
        </is>
      </c>
      <c r="Q21" t="inlineStr">
        <is>
          <t>Мерло — Галицкий и Галицкий — Красное сухое</t>
        </is>
      </c>
      <c r="R21" t="inlineStr">
        <is>
          <t>Каберне Совиньон - Мерло — Винный кооператив Интуиция — Красное сухое</t>
        </is>
      </c>
    </row>
    <row r="22">
      <c r="A22" t="inlineStr">
        <is>
          <t>92.21_19-08-2026_18-57-31.webp</t>
        </is>
      </c>
      <c r="B22" t="inlineStr">
        <is>
          <t>уверенно</t>
        </is>
      </c>
      <c r="C22" t="inlineStr">
        <is>
          <t>belaya-lvicza</t>
        </is>
      </c>
      <c r="D22" t="inlineStr">
        <is>
          <t>Белая Львица белое полусладкое — АРАТТИ — Белое полусладкое</t>
        </is>
      </c>
      <c r="F22" t="inlineStr">
        <is>
          <t>belaya-lvicza</t>
        </is>
      </c>
      <c r="G22" t="inlineStr">
        <is>
          <t>chernaya-lvicza-polusladkoe-krasnoe</t>
        </is>
      </c>
      <c r="H22" t="inlineStr">
        <is>
          <t>rozovaya-pantera</t>
        </is>
      </c>
      <c r="I22" t="inlineStr">
        <is>
          <t>aratti-muskat-belyj-suhoe</t>
        </is>
      </c>
      <c r="J22" t="inlineStr">
        <is>
          <t>aratti-muskat-belyj-polusuhoe</t>
        </is>
      </c>
      <c r="K22">
        <f>IF(C22="","",IFERROR(MATCH(C22,F22:J22,0),"нет"))</f>
        <v/>
      </c>
      <c r="L22">
        <f>IF(C22="","",IF(K22=1,1,0))</f>
        <v/>
      </c>
      <c r="M22">
        <f>IF(C22="","",IF(ISNUMBER(K22),1,0))</f>
        <v/>
      </c>
      <c r="N22" t="inlineStr">
        <is>
          <t>Белая Львица белое полусладкое — АРАТТИ — Белое полусладкое</t>
        </is>
      </c>
      <c r="O22" t="inlineStr">
        <is>
          <t>Черная Львица полусладкое красное — АРАТТИ — Красное полусладкое</t>
        </is>
      </c>
      <c r="P22" t="inlineStr">
        <is>
          <t>Розовая Пантера полусладкое розовое — АРАТТИ — Розовое полусладкое</t>
        </is>
      </c>
      <c r="Q22" t="inlineStr">
        <is>
          <t>АРАТТИ Мускат белый сухое — АРАТТИ — Белое сухое</t>
        </is>
      </c>
      <c r="R22" t="inlineStr">
        <is>
          <t>АРАТТИ Мускат белый полусухое — АРАТТИ — Белое полусухое</t>
        </is>
      </c>
    </row>
    <row r="23">
      <c r="A23" t="inlineStr">
        <is>
          <t>92.6_07-09-2026_11-04-40.webp</t>
        </is>
      </c>
      <c r="B23" t="inlineStr">
        <is>
          <t>уверенно</t>
        </is>
      </c>
      <c r="C23" t="inlineStr">
        <is>
          <t>aratti-kaberne-sovinon-2020-krasnoe-suhoe</t>
        </is>
      </c>
      <c r="D23" t="inlineStr">
        <is>
          <t>АРАТТИ Каберне Совиньон 2020 красное сухое — АРАТТИ — Красное сухое</t>
        </is>
      </c>
      <c r="F23" t="inlineStr">
        <is>
          <t>aratti-kaberne-sovinon-2020-krasnoe-suhoe</t>
        </is>
      </c>
      <c r="G23" t="inlineStr">
        <is>
          <t>aratti-kaberne-sovinon-2021-krasnoe-suhoe</t>
        </is>
      </c>
      <c r="H23" t="inlineStr">
        <is>
          <t>artvin-kaberne-sovinon-grand-rezerv-krasnoe-suhoe-13</t>
        </is>
      </c>
      <c r="I23" t="inlineStr">
        <is>
          <t>vinodelnya-begildeeva-kaberne-sovinon-krasnoe-suhoe-14</t>
        </is>
      </c>
      <c r="J23" t="inlineStr">
        <is>
          <t>aratti-sovinon-blan-beloe-polusuhoe</t>
        </is>
      </c>
      <c r="K23">
        <f>IF(C23="","",IFERROR(MATCH(C23,F23:J23,0),"нет"))</f>
        <v/>
      </c>
      <c r="L23">
        <f>IF(C23="","",IF(K23=1,1,0))</f>
        <v/>
      </c>
      <c r="M23">
        <f>IF(C23="","",IF(ISNUMBER(K23),1,0))</f>
        <v/>
      </c>
      <c r="N23" t="inlineStr">
        <is>
          <t>АРАТТИ Каберне Совиньон 2020 красное сухое — АРАТТИ — Красное сухое</t>
        </is>
      </c>
      <c r="O23" t="inlineStr">
        <is>
          <t>АРАТТИ Каберне Совиньон 2021 красное сухое — АРАТТИ — Красное сухое</t>
        </is>
      </c>
      <c r="P23" t="inlineStr">
        <is>
          <t>Каберне Совиньон Гранд Резерв — Артвин — Красное сухое</t>
        </is>
      </c>
      <c r="Q23" t="inlineStr">
        <is>
          <t>Каберне Совиньон — Винодельня Бегильдеева — Красное сухое</t>
        </is>
      </c>
      <c r="R23" t="inlineStr">
        <is>
          <t>АРАТТИ Совиньон блан белое полусухое — АРАТТИ — Белое полусухое</t>
        </is>
      </c>
    </row>
    <row r="24">
      <c r="A24" t="inlineStr">
        <is>
          <t>92.94_21-08-2026_19-37-08.webp</t>
        </is>
      </c>
      <c r="B24" t="inlineStr">
        <is>
          <t>не уверен</t>
        </is>
      </c>
      <c r="C24" t="inlineStr">
        <is>
          <t>denisov-winery-sovinon-blan-beloe-suhoe-115</t>
        </is>
      </c>
      <c r="D24" t="inlineStr">
        <is>
          <t>Совиньон Блан — Denisov Winery — Белое сухое</t>
        </is>
      </c>
      <c r="E24" t="inlineStr">
        <is>
          <t>есть такое, но этикетка черная, а не белая</t>
        </is>
      </c>
      <c r="F24" t="inlineStr">
        <is>
          <t>denisov-winery-sovinon-blan-beloe-suhoe-115</t>
        </is>
      </c>
      <c r="G24" t="inlineStr">
        <is>
          <t>dubinin-winery-sovinon-blan-beloe-suhoe-12</t>
        </is>
      </c>
      <c r="H24" t="inlineStr">
        <is>
          <t>sovinon-blan</t>
        </is>
      </c>
      <c r="I24" t="inlineStr">
        <is>
          <t>zhemchuzhnaya-9-sovinon-blan-aligote</t>
        </is>
      </c>
      <c r="J24" t="inlineStr">
        <is>
          <t>blagolyubov-sovinon-blan-beloe-suhoe-125</t>
        </is>
      </c>
      <c r="K24">
        <f>IF(C24="","",IFERROR(MATCH(C24,F24:J24,0),"нет"))</f>
        <v/>
      </c>
      <c r="L24">
        <f>IF(C24="","",IF(K24=1,1,0))</f>
        <v/>
      </c>
      <c r="M24">
        <f>IF(C24="","",IF(ISNUMBER(K24),1,0))</f>
        <v/>
      </c>
      <c r="N24" t="inlineStr">
        <is>
          <t>Совиньон Блан — Denisov Winery — Белое сухое</t>
        </is>
      </c>
      <c r="O24" t="inlineStr">
        <is>
          <t>Совиньон Блан — Dubinin Winery — Белое сухое</t>
        </is>
      </c>
      <c r="P24" t="inlineStr">
        <is>
          <t>Совиньон Блан — Литавщук. Litavshchuk vineyards &amp; winery — Белое полусладкое</t>
        </is>
      </c>
      <c r="Q24" t="inlineStr">
        <is>
          <t>Жемчужная 9 Совиньон блан, Алиготе — АРАТТИ — Белое сухое</t>
        </is>
      </c>
      <c r="R24" t="inlineStr">
        <is>
          <t>Совиньон Блан — Благолюбов — Белое сухое</t>
        </is>
      </c>
    </row>
    <row r="25">
      <c r="A25" t="inlineStr">
        <is>
          <t>92.96_19-08-2026_21-07-12.webp</t>
        </is>
      </c>
      <c r="B25" t="inlineStr">
        <is>
          <t>уверенно</t>
        </is>
      </c>
      <c r="C25" t="inlineStr">
        <is>
          <t>aratti-kaberne-sovinon-2020-krasnoe-suhoe</t>
        </is>
      </c>
      <c r="D25" t="inlineStr">
        <is>
          <t>АРАТТИ Каберне Совиньон 2020 красное сухое — АРАТТИ — Красное сухое</t>
        </is>
      </c>
      <c r="F25" t="inlineStr">
        <is>
          <t>aratti-kaberne-sovinon-2020-krasnoe-suhoe</t>
        </is>
      </c>
      <c r="G25" t="inlineStr">
        <is>
          <t>aratti-kaberne-sovinon-2021-krasnoe-suhoe</t>
        </is>
      </c>
      <c r="H25" t="inlineStr">
        <is>
          <t>artvin-kaberne-sovinon-grand-rezerv-krasnoe-suhoe-13</t>
        </is>
      </c>
      <c r="I25" t="inlineStr">
        <is>
          <t>vinodelnya-begildeeva-kaberne-sovinon-krasnoe-suhoe-14</t>
        </is>
      </c>
      <c r="J25" t="inlineStr">
        <is>
          <t>usadba-markoth-kaberne-sovinon-rezerv-krasnoe-suhoe-13</t>
        </is>
      </c>
      <c r="K25">
        <f>IF(C25="","",IFERROR(MATCH(C25,F25:J25,0),"нет"))</f>
        <v/>
      </c>
      <c r="L25">
        <f>IF(C25="","",IF(K25=1,1,0))</f>
        <v/>
      </c>
      <c r="M25">
        <f>IF(C25="","",IF(ISNUMBER(K25),1,0))</f>
        <v/>
      </c>
      <c r="N25" t="inlineStr">
        <is>
          <t>АРАТТИ Каберне Совиньон 2020 красное сухое — АРАТТИ — Красное сухое</t>
        </is>
      </c>
      <c r="O25" t="inlineStr">
        <is>
          <t>АРАТТИ Каберне Совиньон 2021 красное сухое — АРАТТИ — Красное сухое</t>
        </is>
      </c>
      <c r="P25" t="inlineStr">
        <is>
          <t>Каберне Совиньон Гранд Резерв — Артвин — Красное сухое</t>
        </is>
      </c>
      <c r="Q25" t="inlineStr">
        <is>
          <t>Каберне Совиньон — Винодельня Бегильдеева — Красное сухое</t>
        </is>
      </c>
      <c r="R25" t="inlineStr">
        <is>
          <t>Каберне Совиньон Резерв — Усадьба Маркотх — Красное сухое</t>
        </is>
      </c>
    </row>
    <row r="26">
      <c r="A26" t="inlineStr">
        <is>
          <t>92.99_02-09-2026_04-20-19.webp</t>
        </is>
      </c>
      <c r="B26" t="inlineStr">
        <is>
          <t>нет в каталоге</t>
        </is>
      </c>
      <c r="F26" t="inlineStr">
        <is>
          <t>mont-blanc-blanc-de-blancs</t>
        </is>
      </c>
      <c r="G26" t="inlineStr">
        <is>
          <t>vinodelnya-myshako-rose-de-noirs-pino-nuar-rozovoe-bryut-123</t>
        </is>
      </c>
      <c r="H26" t="inlineStr">
        <is>
          <t>rozovaya-pantera</t>
        </is>
      </c>
      <c r="I26" t="inlineStr">
        <is>
          <t>usadba-divnomorskoe-rose-vione-rozovoe-suhoe-125</t>
        </is>
      </c>
      <c r="J26" t="inlineStr">
        <is>
          <t>kuban-vino-vysokiy-bereg-grafit-roze-kaberne-sovinon-rozovoe-suhoe-12</t>
        </is>
      </c>
      <c r="K26">
        <f>IF(C26="","",IFERROR(MATCH(C26,F26:J26,0),"нет"))</f>
        <v/>
      </c>
      <c r="L26">
        <f>IF(C26="","",IF(K26=1,1,0))</f>
        <v/>
      </c>
      <c r="M26">
        <f>IF(C26="","",IF(ISNUMBER(K26),1,0))</f>
        <v/>
      </c>
      <c r="N26" t="inlineStr">
        <is>
          <t>Mont Blanc, Blanc de Blancs — Шато АЛВИСА — Белое брют</t>
        </is>
      </c>
      <c r="O26" t="inlineStr">
        <is>
          <t>Rose De Noirs — Мысхако — Розовое брют</t>
        </is>
      </c>
      <c r="P26" t="inlineStr">
        <is>
          <t>Розовая Пантера полусладкое розовое — АРАТТИ — Розовое полусладкое</t>
        </is>
      </c>
      <c r="Q26" t="inlineStr">
        <is>
          <t>Rose — Усадьба Дивноморское — Розовое сухое</t>
        </is>
      </c>
      <c r="R26" t="inlineStr">
        <is>
          <t>Высокий Берег Графит Розе — Кубань-Вино — Розовое сухое</t>
        </is>
      </c>
    </row>
    <row r="27">
      <c r="A27" t="inlineStr">
        <is>
          <t>93.31_05-09-2026_13-39-37.webp</t>
        </is>
      </c>
      <c r="B27" t="inlineStr">
        <is>
          <t>уверенно</t>
        </is>
      </c>
      <c r="C27" t="inlineStr">
        <is>
          <t>golubitskoe-estate-noble-selection-red-blend-kaberne-sovinon-krasnoe-suhoe-136</t>
        </is>
      </c>
      <c r="D27" t="inlineStr">
        <is>
          <t>Noble Selection Red Blend — Golubitskoe Estate — Красное сухое</t>
        </is>
      </c>
      <c r="F27" t="inlineStr">
        <is>
          <t>golubitskoe-estate-noble-selection-red-blend-kaberne-sovinon-krasnoe-suhoe-136</t>
        </is>
      </c>
      <c r="G27" t="inlineStr">
        <is>
          <t>golubitskoe-estate-kaberne-sovinon-noble-selection-krasnoe-suhoe-133</t>
        </is>
      </c>
      <c r="H27" t="inlineStr">
        <is>
          <t>golubitskoe-estate-noble-selection-white-blend-shardone-beloe-suhoe-135</t>
        </is>
      </c>
      <c r="I27" t="inlineStr">
        <is>
          <t>golubitskoe-estate-red-blend-kaberne-sovinon-krasnoe-suhoe-136</t>
        </is>
      </c>
      <c r="J27" t="inlineStr">
        <is>
          <t>golubitskoe-estate-kaberne-sovinon-rezerv-krasnoe-suhoe-125</t>
        </is>
      </c>
      <c r="K27">
        <f>IF(C27="","",IFERROR(MATCH(C27,F27:J27,0),"нет"))</f>
        <v/>
      </c>
      <c r="L27">
        <f>IF(C27="","",IF(K27=1,1,0))</f>
        <v/>
      </c>
      <c r="M27">
        <f>IF(C27="","",IF(ISNUMBER(K27),1,0))</f>
        <v/>
      </c>
      <c r="N27" t="inlineStr">
        <is>
          <t>Noble Selection Red Blend — Golubitskoe Estate — Красное сухое</t>
        </is>
      </c>
      <c r="O27" t="inlineStr">
        <is>
          <t>Каберне Совиньон Noble Selection — Golubitskoe Estate — Красное сухое</t>
        </is>
      </c>
      <c r="P27" t="inlineStr">
        <is>
          <t>Noble Selection White Blend — Golubitskoe Estate — Белое сухое</t>
        </is>
      </c>
      <c r="Q27" t="inlineStr">
        <is>
          <t>Red Blend — Golubitskoe Estate — Красное сухое</t>
        </is>
      </c>
      <c r="R27" t="inlineStr">
        <is>
          <t>Каберне Совиньон Резерв — Golubitskoe Estate — Красное сухое</t>
        </is>
      </c>
    </row>
    <row r="28">
      <c r="A28" t="inlineStr">
        <is>
          <t>93.43_05-09-2026_13-34-45.webp</t>
        </is>
      </c>
      <c r="B28" t="inlineStr">
        <is>
          <t>уверенно</t>
        </is>
      </c>
      <c r="C28" t="inlineStr">
        <is>
          <t>denisov_pet_nat_rubin</t>
        </is>
      </c>
      <c r="D28" t="inlineStr">
        <is>
          <t>Пет-Нат Рубин — Denisov Winery — Розовое экстра брют</t>
        </is>
      </c>
      <c r="F28" t="inlineStr">
        <is>
          <t>denisov-winery-petnat-risling-beloe-ekstra-bryut-10</t>
        </is>
      </c>
      <c r="G28" t="inlineStr">
        <is>
          <t>denisov-winery-petnat-rkatsiteli-beloe-ekstra-bryut-107</t>
        </is>
      </c>
      <c r="H28" t="inlineStr">
        <is>
          <t>denisov-winery-petnat-tsitron-risling-tsitronnyy-magaracha-beloe-ekstra-bryut-102</t>
        </is>
      </c>
      <c r="I28" t="inlineStr">
        <is>
          <t>denisov_pet_nat_rubin</t>
        </is>
      </c>
      <c r="J28" t="inlineStr">
        <is>
          <t>fioletovyj-rannij-petnat</t>
        </is>
      </c>
      <c r="K28">
        <f>IF(C28="","",IFERROR(MATCH(C28,F28:J28,0),"нет"))</f>
        <v/>
      </c>
      <c r="L28">
        <f>IF(C28="","",IF(K28=1,1,0))</f>
        <v/>
      </c>
      <c r="M28">
        <f>IF(C28="","",IF(ISNUMBER(K28),1,0))</f>
        <v/>
      </c>
      <c r="N28" t="inlineStr">
        <is>
          <t>Петнат Рислинг — Denisov Winery — Белое экстра брют</t>
        </is>
      </c>
      <c r="O28" t="inlineStr">
        <is>
          <t>Петнат Ркацители — Denisov Winery — Белое экстра брют</t>
        </is>
      </c>
      <c r="P28" t="inlineStr">
        <is>
          <t>Петнат Цитрон - Рислинг — Denisov Winery — Белое экстра брют</t>
        </is>
      </c>
      <c r="Q28" t="inlineStr">
        <is>
          <t>Пет-Нат Рубин — Denisov Winery — Розовое экстра брют</t>
        </is>
      </c>
      <c r="R28" t="inlineStr">
        <is>
          <t>Фиолетовый Ранний петнат — Гусевъ — Белое экстра брют</t>
        </is>
      </c>
    </row>
    <row r="29">
      <c r="A29" t="inlineStr">
        <is>
          <t>93.68_19-08-2026_20-44-28.webp</t>
        </is>
      </c>
      <c r="B29" t="inlineStr">
        <is>
          <t>уверенно</t>
        </is>
      </c>
      <c r="C29" t="inlineStr">
        <is>
          <t>zakat-denisov-vajneri</t>
        </is>
      </c>
      <c r="D29" t="inlineStr">
        <is>
          <t>Закат. Денисов Вайнери — Denisov Winery — Розовое сухое</t>
        </is>
      </c>
      <c r="F29" t="inlineStr">
        <is>
          <t>zakat-denisov-vajneri</t>
        </is>
      </c>
      <c r="G29" t="inlineStr">
        <is>
          <t>znoj-denisov-vajneri</t>
        </is>
      </c>
      <c r="H29" t="inlineStr">
        <is>
          <t>zhemchuzhnaya-9-pino-nuar-muskat-rozovyj</t>
        </is>
      </c>
      <c r="I29" t="inlineStr">
        <is>
          <t>rozovaya-pantera</t>
        </is>
      </c>
      <c r="J29" t="inlineStr">
        <is>
          <t>vinodelnya-78-muskat-polusladkoe-muskat-ottonel-beloe-115</t>
        </is>
      </c>
      <c r="K29">
        <f>IF(C29="","",IFERROR(MATCH(C29,F29:J29,0),"нет"))</f>
        <v/>
      </c>
      <c r="L29">
        <f>IF(C29="","",IF(K29=1,1,0))</f>
        <v/>
      </c>
      <c r="M29">
        <f>IF(C29="","",IF(ISNUMBER(K29),1,0))</f>
        <v/>
      </c>
      <c r="N29" t="inlineStr">
        <is>
          <t>Закат. Денисов Вайнери — Denisov Winery — Розовое сухое</t>
        </is>
      </c>
      <c r="O29" t="inlineStr">
        <is>
          <t>Зной. Денисов Вайнери — Denisov Winery — Белое сухое</t>
        </is>
      </c>
      <c r="P29" t="inlineStr">
        <is>
          <t>Жемчужная 9 Пино Нуар, Мускат Розовый — АРАТТИ — Розовое сухое</t>
        </is>
      </c>
      <c r="Q29" t="inlineStr">
        <is>
          <t>Розовая Пантера полусладкое розовое — АРАТТИ — Розовое полусладкое</t>
        </is>
      </c>
      <c r="R29" t="inlineStr">
        <is>
          <t>Мускат полусладкое — Винодельня 78 — Белое полусладкое</t>
        </is>
      </c>
    </row>
    <row r="30">
      <c r="A30" t="inlineStr">
        <is>
          <t>93.84_02-09-2026_17-13-04.webp</t>
        </is>
      </c>
      <c r="B30" t="inlineStr">
        <is>
          <t>уверенно</t>
        </is>
      </c>
      <c r="C30" t="inlineStr">
        <is>
          <t>zakat-denisov-vajneri</t>
        </is>
      </c>
      <c r="D30" t="inlineStr">
        <is>
          <t>Закат. Денисов Вайнери — Denisov Winery — Розовое сухое</t>
        </is>
      </c>
      <c r="F30" t="inlineStr">
        <is>
          <t>zakat-denisov-vajneri</t>
        </is>
      </c>
      <c r="G30" t="inlineStr">
        <is>
          <t>vinodelnya-78-muskat-polusladkoe-muskat-ottonel-beloe-115</t>
        </is>
      </c>
      <c r="H30" t="inlineStr">
        <is>
          <t>rozovaya-pantera</t>
        </is>
      </c>
      <c r="I30" t="inlineStr">
        <is>
          <t>zhemchuzhnaya-9-pino-nuar-muskat-rozovyj</t>
        </is>
      </c>
      <c r="J30" t="inlineStr">
        <is>
          <t>vinodelnya-vedernikov-tsimlyanskiy-chernyy-rozovyy-rozovoe-suhoe-125</t>
        </is>
      </c>
      <c r="K30">
        <f>IF(C30="","",IFERROR(MATCH(C30,F30:J30,0),"нет"))</f>
        <v/>
      </c>
      <c r="L30">
        <f>IF(C30="","",IF(K30=1,1,0))</f>
        <v/>
      </c>
      <c r="M30">
        <f>IF(C30="","",IF(ISNUMBER(K30),1,0))</f>
        <v/>
      </c>
      <c r="N30" t="inlineStr">
        <is>
          <t>Закат. Денисов Вайнери — Denisov Winery — Розовое сухое</t>
        </is>
      </c>
      <c r="O30" t="inlineStr">
        <is>
          <t>Мускат полусладкое — Винодельня 78 — Белое полусладкое</t>
        </is>
      </c>
      <c r="P30" t="inlineStr">
        <is>
          <t>Розовая Пантера полусладкое розовое — АРАТТИ — Розовое полусладкое</t>
        </is>
      </c>
      <c r="Q30" t="inlineStr">
        <is>
          <t>Жемчужная 9 Пино Нуар, Мускат Розовый — АРАТТИ — Розовое сухое</t>
        </is>
      </c>
      <c r="R30" t="inlineStr">
        <is>
          <t>Цимлянский Черный розовый — Ведерниковъ — Розовое сухое</t>
        </is>
      </c>
    </row>
    <row r="31">
      <c r="A31" t="inlineStr">
        <is>
          <t>93.95_05-09-2026_15-29-36.webp</t>
        </is>
      </c>
      <c r="B31" t="inlineStr">
        <is>
          <t>нет в каталоге</t>
        </is>
      </c>
      <c r="F31" t="inlineStr">
        <is>
          <t>abrau-dyurso-imperial-kyuve-pino-nuar-rozovoe-bryut-125</t>
        </is>
      </c>
      <c r="G31" t="inlineStr">
        <is>
          <t>fanagoriya-alveus-ultra-cuvee-brut-shardone-beloe-bryut-12</t>
        </is>
      </c>
      <c r="H31" t="inlineStr">
        <is>
          <t>novyy-svet-dom-shampanskih-vin-igristoe-vino-vyderzhannoe-polusladkoe-rozovoe-novyy-svet-pino-fran-135</t>
        </is>
      </c>
      <c r="I31" t="inlineStr">
        <is>
          <t>fanagoriya-alveus-ultra-cuvee-ekstra-bryut-rozovoe-merlo-12</t>
        </is>
      </c>
      <c r="J31" t="inlineStr">
        <is>
          <t>fanagoriya-alveus-ultra-cuvee-ekstra-bryut-beloe-risling-reynskiy-12</t>
        </is>
      </c>
      <c r="K31">
        <f>IF(C31="","",IFERROR(MATCH(C31,F31:J31,0),"нет"))</f>
        <v/>
      </c>
      <c r="L31">
        <f>IF(C31="","",IF(K31=1,1,0))</f>
        <v/>
      </c>
      <c r="M31">
        <f>IF(C31="","",IF(ISNUMBER(K31),1,0))</f>
        <v/>
      </c>
      <c r="N31" t="inlineStr">
        <is>
          <t>Империал Кюве — Абрау-Дюрсо — Розовое брют</t>
        </is>
      </c>
      <c r="O31" t="inlineStr">
        <is>
          <t>Alveus Ultra Cuvee Brut — Фанагория — Белое брют</t>
        </is>
      </c>
      <c r="P31" t="inlineStr">
        <is>
          <t>Игристое вино выдержанное полусладкое розовое «Новый Свет. Пино Фран» — Новый Свет. Дом шампанских вин — Розовое полусладкое</t>
        </is>
      </c>
      <c r="Q31" t="inlineStr">
        <is>
          <t>Alveus Ultra Cuvee. Экстра брют розовое — Фанагория — Розовое экстра брют</t>
        </is>
      </c>
      <c r="R31" t="inlineStr">
        <is>
          <t>Alveus Ultra Cuvee. Экстра брют белое — Фанагория — Белое экстра брют</t>
        </is>
      </c>
    </row>
    <row r="32">
      <c r="A32" t="inlineStr">
        <is>
          <t>93.97_28-08-2026_16-02-48.webp</t>
        </is>
      </c>
      <c r="B32" t="inlineStr">
        <is>
          <t>нет в каталоге</t>
        </is>
      </c>
      <c r="F32" t="inlineStr">
        <is>
          <t>golubitskoe-estate-chardonnay</t>
        </is>
      </c>
      <c r="G32" t="inlineStr">
        <is>
          <t>golubitskoe-estate-shardone-rezerv-beloe-suhoe-135</t>
        </is>
      </c>
      <c r="H32" t="inlineStr">
        <is>
          <t>golubitskoe-estate-shardone-noble-selection-barrel-touch-beloe-suhoe-135</t>
        </is>
      </c>
      <c r="I32" t="inlineStr">
        <is>
          <t>golubitskoe-estate-sovinon-blan-beloe-suhoe-11</t>
        </is>
      </c>
      <c r="J32" t="inlineStr">
        <is>
          <t>pomeste-golubitskoe-shardone-rezerv-beloe-suhoe-132</t>
        </is>
      </c>
      <c r="K32">
        <f>IF(C32="","",IFERROR(MATCH(C32,F32:J32,0),"нет"))</f>
        <v/>
      </c>
      <c r="L32">
        <f>IF(C32="","",IF(K32=1,1,0))</f>
        <v/>
      </c>
      <c r="M32">
        <f>IF(C32="","",IF(ISNUMBER(K32),1,0))</f>
        <v/>
      </c>
      <c r="N32" t="inlineStr">
        <is>
          <t>Golubitskoe Estate Chardonnay — Поместье Голубицкое — Белое сухое</t>
        </is>
      </c>
      <c r="O32" t="inlineStr">
        <is>
          <t>Шардоне Резерв — Golubitskoe Estate — Белое сухое</t>
        </is>
      </c>
      <c r="P32" t="inlineStr">
        <is>
          <t>Шардоне Noble Selection Barrel Touch — Golubitskoe Estate — Белое сухое</t>
        </is>
      </c>
      <c r="Q32" t="inlineStr">
        <is>
          <t>Совиньон Блан — Golubitskoe Estate — Белое сухое</t>
        </is>
      </c>
      <c r="R32" t="inlineStr">
        <is>
          <t>Шардоне Резерв — Golubitskoe Estate — Белое сухое</t>
        </is>
      </c>
    </row>
    <row r="33">
      <c r="A33" t="inlineStr">
        <is>
          <t>94.02_24-08-2026_17-46-57.webp</t>
        </is>
      </c>
      <c r="B33" t="inlineStr">
        <is>
          <t>уверенно</t>
        </is>
      </c>
      <c r="C33" t="inlineStr">
        <is>
          <t>rubin-golodrigi</t>
        </is>
      </c>
      <c r="D33" t="inlineStr">
        <is>
          <t>Рубин Голодриги  — Табия — Красное сухое</t>
        </is>
      </c>
      <c r="F33" t="inlineStr">
        <is>
          <t>rubin-golodrigi</t>
        </is>
      </c>
      <c r="G33" t="inlineStr">
        <is>
          <t>kaberne-sovinon-2</t>
        </is>
      </c>
      <c r="H33" t="inlineStr">
        <is>
          <t>bukovinka</t>
        </is>
      </c>
      <c r="I33" t="inlineStr">
        <is>
          <t>pobeda</t>
        </is>
      </c>
      <c r="J33" t="inlineStr">
        <is>
          <t>roze-2</t>
        </is>
      </c>
      <c r="K33">
        <f>IF(C33="","",IFERROR(MATCH(C33,F33:J33,0),"нет"))</f>
        <v/>
      </c>
      <c r="L33">
        <f>IF(C33="","",IF(K33=1,1,0))</f>
        <v/>
      </c>
      <c r="M33">
        <f>IF(C33="","",IF(ISNUMBER(K33),1,0))</f>
        <v/>
      </c>
      <c r="N33" t="inlineStr">
        <is>
          <t>Рубин Голодриги  — Табия — Красное сухое</t>
        </is>
      </c>
      <c r="O33" t="inlineStr">
        <is>
          <t>Каберне Совиньон — Табия — Красное сухое</t>
        </is>
      </c>
      <c r="P33" t="inlineStr">
        <is>
          <t>Буковинка — Табия — Белое полусухое</t>
        </is>
      </c>
      <c r="Q33" t="inlineStr">
        <is>
          <t>Победа — Табия — Красное сухое</t>
        </is>
      </c>
      <c r="R33" t="inlineStr">
        <is>
          <t>Розе — Табия — Розовое сухое</t>
        </is>
      </c>
    </row>
    <row r="34">
      <c r="A34" t="inlineStr">
        <is>
          <t>94.43_05-09-2026_15-29-25.webp</t>
        </is>
      </c>
      <c r="B34" t="inlineStr">
        <is>
          <t>нет в каталоге</t>
        </is>
      </c>
      <c r="F34" t="inlineStr">
        <is>
          <t>novyy-svet-dom-shampanskih-vin-igristoe-vino-vyderzhannoe-polusladkoe-rozovoe-novyy-svet-pino-fran-135</t>
        </is>
      </c>
      <c r="G34" t="inlineStr">
        <is>
          <t>rozovoe-bryut-1</t>
        </is>
      </c>
      <c r="H34" t="inlineStr">
        <is>
          <t>fanagoriya-alveus-ultra-cuvee-brut-shardone-beloe-bryut-12</t>
        </is>
      </c>
      <c r="I34" t="inlineStr">
        <is>
          <t>vinodelnya-78-muskat-polusladkoe-muskat-ottonel-beloe-115</t>
        </is>
      </c>
      <c r="J34" t="inlineStr">
        <is>
          <t>balaklava-bryut-rezerv</t>
        </is>
      </c>
      <c r="K34">
        <f>IF(C34="","",IFERROR(MATCH(C34,F34:J34,0),"нет"))</f>
        <v/>
      </c>
      <c r="L34">
        <f>IF(C34="","",IF(K34=1,1,0))</f>
        <v/>
      </c>
      <c r="M34">
        <f>IF(C34="","",IF(ISNUMBER(K34),1,0))</f>
        <v/>
      </c>
      <c r="N34" t="inlineStr">
        <is>
          <t>Игристое вино выдержанное полусладкое розовое «Новый Свет. Пино Фран» — Новый Свет. Дом шампанских вин — Розовое полусладкое</t>
        </is>
      </c>
      <c r="O34" t="inlineStr">
        <is>
          <t>Розовое брют — Золотая Балка — Розовое брют</t>
        </is>
      </c>
      <c r="P34" t="inlineStr">
        <is>
          <t>Alveus Ultra Cuvee Brut — Фанагория — Белое брют</t>
        </is>
      </c>
      <c r="Q34" t="inlineStr">
        <is>
          <t>Мускат полусладкое — Винодельня 78 — Белое полусладкое</t>
        </is>
      </c>
      <c r="R34" t="inlineStr">
        <is>
          <t>Балаклава Брют Резерв — Золотая Балка — Белое брют</t>
        </is>
      </c>
    </row>
    <row r="35">
      <c r="A35" t="inlineStr">
        <is>
          <t>94.55_02-09-2026_16-53-08.webp</t>
        </is>
      </c>
      <c r="B35" t="inlineStr">
        <is>
          <t>уверенно</t>
        </is>
      </c>
      <c r="C35" t="inlineStr">
        <is>
          <t>denisov_pazori_risling</t>
        </is>
      </c>
      <c r="D35" t="inlineStr">
        <is>
          <t>Пазори Рислинг — Denisov Winery — Белое брют</t>
        </is>
      </c>
      <c r="F35" t="inlineStr">
        <is>
          <t>denisov-winery-pino-nuar-shardone-ekstra-bryut-beloe-125</t>
        </is>
      </c>
      <c r="G35" t="inlineStr">
        <is>
          <t>denisov_pazori_risling</t>
        </is>
      </c>
      <c r="H35" t="inlineStr">
        <is>
          <t>znoj-denisov-vajneri</t>
        </is>
      </c>
      <c r="I35" t="inlineStr">
        <is>
          <t>vinodelnya-zhakov-saperavi-vyderzhannoe-krasnoe-suhoe-115</t>
        </is>
      </c>
      <c r="J35" t="inlineStr">
        <is>
          <t>vinodelnya-uzunov-nrav-krasnostop-zolotovskiy-krasnoe-suhoe-132</t>
        </is>
      </c>
      <c r="K35">
        <f>IF(C35="","",IFERROR(MATCH(C35,F35:J35,0),"нет"))</f>
        <v/>
      </c>
      <c r="L35">
        <f>IF(C35="","",IF(K35=1,1,0))</f>
        <v/>
      </c>
      <c r="M35">
        <f>IF(C35="","",IF(ISNUMBER(K35),1,0))</f>
        <v/>
      </c>
      <c r="N35" t="inlineStr">
        <is>
          <t>Пино Нуар - Шардоне экстра брют — Denisov Winery — Белое экстра брют</t>
        </is>
      </c>
      <c r="O35" t="inlineStr">
        <is>
          <t>Пазори Рислинг — Denisov Winery — Белое брют</t>
        </is>
      </c>
      <c r="P35" t="inlineStr">
        <is>
          <t>Зной. Денисов Вайнери — Denisov Winery — Белое сухое</t>
        </is>
      </c>
      <c r="Q35" t="inlineStr">
        <is>
          <t>Саперави выдержанное — Винодельня Жаков — Красное сухое</t>
        </is>
      </c>
      <c r="R35" t="inlineStr">
        <is>
          <t>Нрав — Винодельня Узунов — Красное сухое</t>
        </is>
      </c>
    </row>
    <row r="36">
      <c r="A36" t="inlineStr">
        <is>
          <t>94.72_21-08-2026_15-41-48.webp</t>
        </is>
      </c>
      <c r="B36" t="inlineStr">
        <is>
          <t>не уверен</t>
        </is>
      </c>
      <c r="C36" t="inlineStr">
        <is>
          <t>derbent-vino-desono-kaberne-sovinon-krasnoe-suhoe-125</t>
        </is>
      </c>
      <c r="D36" t="inlineStr">
        <is>
          <t>Дэсоно Каберне Совиньон — Дербент Вино — Красное сухое</t>
        </is>
      </c>
      <c r="E36" t="inlineStr">
        <is>
          <t>есть такое, но надпись внизу несоответствует, она больше. но фактически одно и то же</t>
        </is>
      </c>
      <c r="F36" t="inlineStr">
        <is>
          <t>derbent-vino-desono-kaberne-sovinon-krasnoe-suhoe-125</t>
        </is>
      </c>
      <c r="G36" t="inlineStr">
        <is>
          <t>derbent-vino-desono-merlo-krasnoe-suhoe-125</t>
        </is>
      </c>
      <c r="H36" t="inlineStr">
        <is>
          <t>derbent-vino-desono-kaberne-fran-krasnoe-suhoe-125</t>
        </is>
      </c>
      <c r="I36" t="inlineStr">
        <is>
          <t>derbent-vino-desono-risling-beloe-suhoe-125</t>
        </is>
      </c>
      <c r="J36" t="inlineStr">
        <is>
          <t>derbent-vino-desono-shardone-beloe-suhoe-125</t>
        </is>
      </c>
      <c r="K36">
        <f>IF(C36="","",IFERROR(MATCH(C36,F36:J36,0),"нет"))</f>
        <v/>
      </c>
      <c r="L36">
        <f>IF(C36="","",IF(K36=1,1,0))</f>
        <v/>
      </c>
      <c r="M36">
        <f>IF(C36="","",IF(ISNUMBER(K36),1,0))</f>
        <v/>
      </c>
      <c r="N36" t="inlineStr">
        <is>
          <t>Дэсоно Каберне Совиньон — Дербент Вино — Красное сухое</t>
        </is>
      </c>
      <c r="O36" t="inlineStr">
        <is>
          <t>Дэсоно Мерло — Дербент Вино — Красное сухое</t>
        </is>
      </c>
      <c r="P36" t="inlineStr">
        <is>
          <t>Дэсоно Каберне Фран — Дербент Вино — Красное сухое</t>
        </is>
      </c>
      <c r="Q36" t="inlineStr">
        <is>
          <t>Дэсоно Рислинг — Дербент Вино — Белое сухое</t>
        </is>
      </c>
      <c r="R36" t="inlineStr">
        <is>
          <t>Дэсоно Шардоне — Дербент Вино — Белое сухое</t>
        </is>
      </c>
    </row>
    <row r="37">
      <c r="A37" t="inlineStr">
        <is>
          <t>94.7_25-08-2026_15-52-07.webp</t>
        </is>
      </c>
      <c r="B37" t="inlineStr">
        <is>
          <t>уверенно</t>
        </is>
      </c>
      <c r="C37" t="inlineStr">
        <is>
          <t>czitronnyj-magaracha-sovinon-blan</t>
        </is>
      </c>
      <c r="D37" t="inlineStr">
        <is>
          <t>Жемчужная 9 Цитрон, Совиньон блан — АРАТТИ — Белое полусухое</t>
        </is>
      </c>
      <c r="F37" t="inlineStr">
        <is>
          <t>czitronnyj-magaracha-sovinon-blan</t>
        </is>
      </c>
      <c r="G37" t="inlineStr">
        <is>
          <t>zhemchuzhnaya-9-czitron-shardone-1</t>
        </is>
      </c>
      <c r="H37" t="inlineStr">
        <is>
          <t>zhemchuzhnaya-9-aligote-czitron</t>
        </is>
      </c>
      <c r="I37" t="inlineStr">
        <is>
          <t>zhemchuzhnaya-9-czitron-shardone</t>
        </is>
      </c>
      <c r="J37" t="inlineStr">
        <is>
          <t>zhemchuzhnaya-9-risling-sovinon-blan</t>
        </is>
      </c>
      <c r="K37">
        <f>IF(C37="","",IFERROR(MATCH(C37,F37:J37,0),"нет"))</f>
        <v/>
      </c>
      <c r="L37">
        <f>IF(C37="","",IF(K37=1,1,0))</f>
        <v/>
      </c>
      <c r="M37">
        <f>IF(C37="","",IF(ISNUMBER(K37),1,0))</f>
        <v/>
      </c>
      <c r="N37" t="inlineStr">
        <is>
          <t>Жемчужная 9 Цитрон, Совиньон блан — АРАТТИ — Белое полусухое</t>
        </is>
      </c>
      <c r="O37" t="inlineStr">
        <is>
          <t>Жемчужная 9 Цитрон, Шардоне — АРАТТИ — Белое полусладкое</t>
        </is>
      </c>
      <c r="P37" t="inlineStr">
        <is>
          <t>Жемчужная 9 Алиготе, Цитрон — АРАТТИ — Белое сухое</t>
        </is>
      </c>
      <c r="Q37" t="inlineStr">
        <is>
          <t>Жемчужная 9 Цитрон, Шардоне — АРАТТИ — Белое сухое</t>
        </is>
      </c>
      <c r="R37" t="inlineStr">
        <is>
          <t>Жемчужная 9 Рислинг,Совиньон блан — АРАТТИ — Белое полусухое</t>
        </is>
      </c>
    </row>
    <row r="38">
      <c r="A38" t="inlineStr">
        <is>
          <t>94.83_27-08-2026_14-29-28.webp</t>
        </is>
      </c>
      <c r="B38" t="inlineStr">
        <is>
          <t>нет в каталоге</t>
        </is>
      </c>
      <c r="F38" t="inlineStr">
        <is>
          <t>shato-pino-gravitatsiya-kaberne-sovinon-merlo-krasnoe-suhoe-135</t>
        </is>
      </c>
      <c r="G38" t="inlineStr">
        <is>
          <t>shato-pino-sovinon-blan-semilon-beloe-suhoe-115</t>
        </is>
      </c>
      <c r="H38" t="inlineStr">
        <is>
          <t>shato-pino-marselan-merlo-krasnoe-suhoe-13</t>
        </is>
      </c>
      <c r="I38" t="inlineStr">
        <is>
          <t>shato-pino-shardone-beloe-suhoe-125</t>
        </is>
      </c>
      <c r="J38" t="inlineStr">
        <is>
          <t>shato-pino-aligote-rkatsiteli-beloe-suhoe-12</t>
        </is>
      </c>
      <c r="K38">
        <f>IF(C38="","",IFERROR(MATCH(C38,F38:J38,0),"нет"))</f>
        <v/>
      </c>
      <c r="L38">
        <f>IF(C38="","",IF(K38=1,1,0))</f>
        <v/>
      </c>
      <c r="M38">
        <f>IF(C38="","",IF(ISNUMBER(K38),1,0))</f>
        <v/>
      </c>
      <c r="N38" t="inlineStr">
        <is>
          <t>Гравитация. Каберне Совиньон - Мерло — Шато Пино — Красное сухое</t>
        </is>
      </c>
      <c r="O38" t="inlineStr">
        <is>
          <t>Совиньон Блан - Семильон — Шато Пино — Белое сухое</t>
        </is>
      </c>
      <c r="P38" t="inlineStr">
        <is>
          <t>Марселан - Мерло — Шато Пино — Красное сухое</t>
        </is>
      </c>
      <c r="Q38" t="inlineStr">
        <is>
          <t>Шардоне — Шато Пино — Белое сухое</t>
        </is>
      </c>
      <c r="R38" t="inlineStr">
        <is>
          <t>Алиготе - Ркацители белое сухое — Шато Пино — Белое сухое</t>
        </is>
      </c>
    </row>
    <row r="39">
      <c r="A39" t="inlineStr">
        <is>
          <t>94.8_01-09-2026_10-10-02.webp</t>
        </is>
      </c>
      <c r="B39" t="inlineStr">
        <is>
          <t>нет в каталоге</t>
        </is>
      </c>
      <c r="F39" t="inlineStr">
        <is>
          <t>massandra-portveyn-krasnyy-alushta-krasnye-sorta-vinograda-krasnoe-sladkoe-17</t>
        </is>
      </c>
      <c r="G39" t="inlineStr">
        <is>
          <t>soyuz-vino-mosavali-saperavi-polusladkoe-krasnoe-11</t>
        </is>
      </c>
      <c r="H39" t="inlineStr">
        <is>
          <t>perovskih_polusladkoe_krasnoe</t>
        </is>
      </c>
      <c r="I39" t="inlineStr">
        <is>
          <t>massandra-portveyn-krasnyy-livadiya-kaberne-sovinon-krasnoe-sladkoe-185</t>
        </is>
      </c>
      <c r="J39" t="inlineStr">
        <is>
          <t>kaberne-sovinon</t>
        </is>
      </c>
      <c r="K39">
        <f>IF(C39="","",IFERROR(MATCH(C39,F39:J39,0),"нет"))</f>
        <v/>
      </c>
      <c r="L39">
        <f>IF(C39="","",IF(K39=1,1,0))</f>
        <v/>
      </c>
      <c r="M39">
        <f>IF(C39="","",IF(ISNUMBER(K39),1,0))</f>
        <v/>
      </c>
      <c r="N39" t="inlineStr">
        <is>
          <t>Портвейн красный Алушта — Массандра — Красное сладкое</t>
        </is>
      </c>
      <c r="O39" t="inlineStr">
        <is>
          <t>Мосавали Саперави Полусладкое — Союз-Вино — Красное полусладкое</t>
        </is>
      </c>
      <c r="P39" t="inlineStr">
        <is>
          <t>Полусладкое Красное — Усадьба Перовских — Красное полусладкое</t>
        </is>
      </c>
      <c r="Q39" t="inlineStr">
        <is>
          <t>Портвейн красный Ливадия — Массандра — Красное сладкое</t>
        </is>
      </c>
      <c r="R39" t="inlineStr">
        <is>
          <t>Каберне Совиньон — Массандра — Красное сладкое</t>
        </is>
      </c>
    </row>
    <row r="40">
      <c r="A40" t="inlineStr">
        <is>
          <t>94.94_05-09-2026_15-04-50.webp</t>
        </is>
      </c>
      <c r="B40" t="inlineStr">
        <is>
          <t>не уверен</t>
        </is>
      </c>
      <c r="C40" t="inlineStr">
        <is>
          <t>denisov-winery-sovinon-blan-beloe-suhoe-115</t>
        </is>
      </c>
      <c r="D40" t="inlineStr">
        <is>
          <t>Совиньон Блан — Denisov Winery — Белое сухое</t>
        </is>
      </c>
      <c r="E40" t="inlineStr">
        <is>
          <t>этикетка немного другая. в slug черная, а на фото белая</t>
        </is>
      </c>
      <c r="F40" t="inlineStr">
        <is>
          <t>denisov-winery-sovinon-blan-beloe-suhoe-115</t>
        </is>
      </c>
      <c r="G40" t="inlineStr">
        <is>
          <t>dubinin-winery-sovinon-blan-beloe-suhoe-12</t>
        </is>
      </c>
      <c r="H40" t="inlineStr">
        <is>
          <t>znoj-denisov-vajneri</t>
        </is>
      </c>
      <c r="I40" t="inlineStr">
        <is>
          <t>imenie-sikory-sovinon-blan-sikory-beloe-suhoe-13</t>
        </is>
      </c>
      <c r="J40" t="inlineStr">
        <is>
          <t>zhemchuzhnaya-9-sovinon-blan-aligote</t>
        </is>
      </c>
      <c r="K40">
        <f>IF(C40="","",IFERROR(MATCH(C40,F40:J40,0),"нет"))</f>
        <v/>
      </c>
      <c r="L40">
        <f>IF(C40="","",IF(K40=1,1,0))</f>
        <v/>
      </c>
      <c r="M40">
        <f>IF(C40="","",IF(ISNUMBER(K40),1,0))</f>
        <v/>
      </c>
      <c r="N40" t="inlineStr">
        <is>
          <t>Совиньон Блан — Denisov Winery — Белое сухое</t>
        </is>
      </c>
      <c r="O40" t="inlineStr">
        <is>
          <t>Совиньон Блан — Dubinin Winery — Белое сухое</t>
        </is>
      </c>
      <c r="P40" t="inlineStr">
        <is>
          <t>Зной. Денисов Вайнери — Denisov Winery — Белое сухое</t>
        </is>
      </c>
      <c r="Q40" t="inlineStr">
        <is>
          <t>Совиньон Блан Сикоры — Имение Сикоры — Белое сухое</t>
        </is>
      </c>
      <c r="R40" t="inlineStr">
        <is>
          <t>Жемчужная 9 Совиньон блан, Алиготе — АРАТТИ — Белое сухое</t>
        </is>
      </c>
    </row>
    <row r="41">
      <c r="A41" t="inlineStr">
        <is>
          <t>94.97_02-09-2026_19-01-48.webp</t>
        </is>
      </c>
      <c r="B41" t="inlineStr">
        <is>
          <t>уверенно</t>
        </is>
      </c>
      <c r="C41" t="inlineStr">
        <is>
          <t>zhemchuzhnaya-9-pino-nuar-muskat-rozovyj-2</t>
        </is>
      </c>
      <c r="D41" t="inlineStr">
        <is>
          <t>Жемчужная 9 Пино нуар, Мускат Розовый — АРАТТИ — Розовое полусладкое</t>
        </is>
      </c>
      <c r="F41" t="inlineStr">
        <is>
          <t>zhemchuzhnaya-9-pino-nuar-muskat-rozovyj-2</t>
        </is>
      </c>
      <c r="G41" t="inlineStr">
        <is>
          <t>zhemchuzhnaya-9-pino-nuar-muskat-rozovyj-1</t>
        </is>
      </c>
      <c r="H41" t="inlineStr">
        <is>
          <t>zhemchuzhnaya-9-pino-nuar-muskat-rozovyj</t>
        </is>
      </c>
      <c r="I41" t="inlineStr">
        <is>
          <t>zhemchuzhnaya-9-muskat-rozovyj-kaberne-sovinon</t>
        </is>
      </c>
      <c r="J41" t="inlineStr">
        <is>
          <t>zhemchuzhnaya-9-muskat-rozovyj-pino-gri</t>
        </is>
      </c>
      <c r="K41">
        <f>IF(C41="","",IFERROR(MATCH(C41,F41:J41,0),"нет"))</f>
        <v/>
      </c>
      <c r="L41">
        <f>IF(C41="","",IF(K41=1,1,0))</f>
        <v/>
      </c>
      <c r="M41">
        <f>IF(C41="","",IF(ISNUMBER(K41),1,0))</f>
        <v/>
      </c>
      <c r="N41" t="inlineStr">
        <is>
          <t>Жемчужная 9 Пино нуар, Мускат Розовый — АРАТТИ — Розовое полусладкое</t>
        </is>
      </c>
      <c r="O41" t="inlineStr">
        <is>
          <t>Жемчужная 9 Пино Нуар, Мускат розовый — АРАТТИ — Розовое полусухое</t>
        </is>
      </c>
      <c r="P41" t="inlineStr">
        <is>
          <t>Жемчужная 9 Пино Нуар, Мускат Розовый — АРАТТИ — Розовое сухое</t>
        </is>
      </c>
      <c r="Q41" t="inlineStr">
        <is>
          <t>Жемчужная 9 Мускат Розовый, Каберне Совиньон — АРАТТИ — Розовое полусладкое</t>
        </is>
      </c>
      <c r="R41" t="inlineStr">
        <is>
          <t>Жемчужная 9 Мускат Розовый, Пино гри — АРАТТИ — Розовое сухое</t>
        </is>
      </c>
    </row>
    <row r="42">
      <c r="A42" t="inlineStr">
        <is>
          <t>95.03_04-09-2026_11-39-35.webp</t>
        </is>
      </c>
      <c r="B42" t="inlineStr">
        <is>
          <t>уверенно</t>
        </is>
      </c>
      <c r="C42" t="inlineStr">
        <is>
          <t>fanagoriya-zelyonoe-vino-risling-tsitronnyy-magaracha-beloe-polusuhoe-11</t>
        </is>
      </c>
      <c r="D42" t="inlineStr">
        <is>
          <t>Зелёное вино. Рислинг - Цитронный Магарача — Фанагория — Белое полусухое</t>
        </is>
      </c>
      <c r="F42" t="inlineStr">
        <is>
          <t>fanagoriya-zelyonoe-vino-risling-tsitronnyy-magaracha-beloe-polusuhoe-11</t>
        </is>
      </c>
      <c r="G42" t="inlineStr">
        <is>
          <t>fanagoriya-zelyonoe-vino-risling-tsitronnyy-magaracha-merlo-rozovoe-polusuhoe-11</t>
        </is>
      </c>
      <c r="H42" t="inlineStr">
        <is>
          <t>fanagoriya-beloe-polusladkoe</t>
        </is>
      </c>
      <c r="I42" t="inlineStr">
        <is>
          <t>fanagoriya-ona-skazala-da-beloe-polusladkoe</t>
        </is>
      </c>
      <c r="J42" t="inlineStr">
        <is>
          <t>vinodelnya-vedernikov-vedernikov-dolina-dona-beloe-suhoe-aligote-12</t>
        </is>
      </c>
      <c r="K42">
        <f>IF(C42="","",IFERROR(MATCH(C42,F42:J42,0),"нет"))</f>
        <v/>
      </c>
      <c r="L42">
        <f>IF(C42="","",IF(K42=1,1,0))</f>
        <v/>
      </c>
      <c r="M42">
        <f>IF(C42="","",IF(ISNUMBER(K42),1,0))</f>
        <v/>
      </c>
      <c r="N42" t="inlineStr">
        <is>
          <t>Зелёное вино. Рислинг - Цитронный Магарача — Фанагория — Белое полусухое</t>
        </is>
      </c>
      <c r="O42" t="inlineStr">
        <is>
          <t>Зелёное вино. Рислинг - Цитронный Магарача - Мерло — Фанагория — Розовое полусухое</t>
        </is>
      </c>
      <c r="P42" t="inlineStr">
        <is>
          <t>Фанагория белое полусладкое — Фанагория — Белое полусладкое</t>
        </is>
      </c>
      <c r="Q42" t="inlineStr">
        <is>
          <t>Фанагория Она сказала Да! белое полусладкое — Фанагория — Белое полусладкое</t>
        </is>
      </c>
      <c r="R42" t="inlineStr">
        <is>
          <t>Ведерниковъ Долина Дона Белое Сухое — Ведерниковъ — Белое сухое</t>
        </is>
      </c>
    </row>
    <row r="43">
      <c r="A43" t="inlineStr">
        <is>
          <t>95.07_01-09-2026_16-15-35.webp</t>
        </is>
      </c>
      <c r="B43" t="inlineStr">
        <is>
          <t>нет в каталоге</t>
        </is>
      </c>
      <c r="F43" t="inlineStr">
        <is>
          <t>khrustaleva-76-muscat-bryut-beloe</t>
        </is>
      </c>
      <c r="G43" t="inlineStr">
        <is>
          <t>kuban-vino-aristov-kyuve-aleksandr-rose-de-pinot-pino-nuar-rozovoe-ekstra-bryut-12</t>
        </is>
      </c>
      <c r="H43" t="inlineStr">
        <is>
          <t>usadba-perovskih-blanc-de-blancs-shardone-beloe-ekstra-bryut-11</t>
        </is>
      </c>
      <c r="I43" t="inlineStr">
        <is>
          <t>shato-pino-pino-gri-roze-rozovoe-ekstra-bryut-12</t>
        </is>
      </c>
      <c r="J43" t="inlineStr">
        <is>
          <t>kuban-vino-aristov-kyuve-aleksandr-blanc-de-blancs-36-shardone-beloe-ekstra-bryut-12</t>
        </is>
      </c>
      <c r="K43">
        <f>IF(C43="","",IFERROR(MATCH(C43,F43:J43,0),"нет"))</f>
        <v/>
      </c>
      <c r="L43">
        <f>IF(C43="","",IF(K43=1,1,0))</f>
        <v/>
      </c>
      <c r="M43">
        <f>IF(C43="","",IF(ISNUMBER(K43),1,0))</f>
        <v/>
      </c>
      <c r="N43" t="inlineStr">
        <is>
          <t>Khrustaleva 76 muscat, брют, белое — AYA Organic Wine &amp; Vineyards — Белое брют</t>
        </is>
      </c>
      <c r="O43" t="inlineStr">
        <is>
          <t>Аристов. Кюве Александр Rose de Pinot — Кубань-Вино — Розовое экстра брют</t>
        </is>
      </c>
      <c r="P43" t="inlineStr">
        <is>
          <t>Blanc de Blancs — Усадьба Перовских — Белое экстра брют</t>
        </is>
      </c>
      <c r="Q43" t="inlineStr">
        <is>
          <t>Пино Гри розе — Шато Пино — Розовое экстра брют</t>
        </is>
      </c>
      <c r="R43" t="inlineStr">
        <is>
          <t>Аристов. Кюве Александр Blanc de Blancs 36 — Кубань-Вино — Белое экстра брют</t>
        </is>
      </c>
    </row>
    <row r="44">
      <c r="A44" t="inlineStr">
        <is>
          <t>95.17_29-08-2026_11-06-42.webp</t>
        </is>
      </c>
      <c r="B44" t="inlineStr">
        <is>
          <t>нет в каталоге</t>
        </is>
      </c>
      <c r="F44" t="inlineStr">
        <is>
          <t>golubitskoe-estate-pino-nuar-rezerv-krasnoe-suhoe-132</t>
        </is>
      </c>
      <c r="G44" t="inlineStr">
        <is>
          <t>golubitskoe-estate-red-blend-kaberne-sovinon-krasnoe-suhoe-136</t>
        </is>
      </c>
      <c r="H44" t="inlineStr">
        <is>
          <t>golubitskoe-estate-winery-series-pino-nuar-rozovoe-suhoe-115</t>
        </is>
      </c>
      <c r="I44" t="inlineStr">
        <is>
          <t>golubitskoe-estate-sovinon-blan-beloe-suhoe-11</t>
        </is>
      </c>
      <c r="J44" t="inlineStr">
        <is>
          <t>golubitskoe-estate-shardone-rezerv-beloe-suhoe-135</t>
        </is>
      </c>
      <c r="K44">
        <f>IF(C44="","",IFERROR(MATCH(C44,F44:J44,0),"нет"))</f>
        <v/>
      </c>
      <c r="L44">
        <f>IF(C44="","",IF(K44=1,1,0))</f>
        <v/>
      </c>
      <c r="M44">
        <f>IF(C44="","",IF(ISNUMBER(K44),1,0))</f>
        <v/>
      </c>
      <c r="N44" t="inlineStr">
        <is>
          <t>Пино Нуар Резерв — Golubitskoe Estate — Красное сухое</t>
        </is>
      </c>
      <c r="O44" t="inlineStr">
        <is>
          <t>Red Blend — Golubitskoe Estate — Красное сухое</t>
        </is>
      </c>
      <c r="P44" t="inlineStr">
        <is>
          <t>Winery Series. Пино Нуар — Golubitskoe Estate — Розовое сухое</t>
        </is>
      </c>
      <c r="Q44" t="inlineStr">
        <is>
          <t>Совиньон Блан — Golubitskoe Estate — Белое сухое</t>
        </is>
      </c>
      <c r="R44" t="inlineStr">
        <is>
          <t>Шардоне Резерв — Golubitskoe Estate — Белое сухое</t>
        </is>
      </c>
    </row>
    <row r="45">
      <c r="A45" t="inlineStr">
        <is>
          <t>95.19_05-09-2026_15-32-06.webp</t>
        </is>
      </c>
      <c r="B45" t="inlineStr">
        <is>
          <t>нет в каталоге</t>
        </is>
      </c>
      <c r="F45" t="inlineStr">
        <is>
          <t>fanagoriya-alveus-ultra-cuvee-brut-shardone-beloe-bryut-12</t>
        </is>
      </c>
      <c r="G45" t="inlineStr">
        <is>
          <t>fanagoriya-alveus-ultra-cuvee-ekstra-bryut-beloe-risling-reynskiy-12</t>
        </is>
      </c>
      <c r="H45" t="inlineStr">
        <is>
          <t>fanagoriya-alveus-ultra-cuvee-ekstra-bryut-rozovoe-merlo-12</t>
        </is>
      </c>
      <c r="I45" t="inlineStr">
        <is>
          <t>fanagoriya-alveus-ultra-cuvee-bryut-rozovoe-merlo-igristoe-bryut-rozovoe-12</t>
        </is>
      </c>
      <c r="J45" t="inlineStr">
        <is>
          <t>fanagoriya-primum-alveus-brut-2016-shardone-igristoe-bryut-beloe-12</t>
        </is>
      </c>
      <c r="K45">
        <f>IF(C45="","",IFERROR(MATCH(C45,F45:J45,0),"нет"))</f>
        <v/>
      </c>
      <c r="L45">
        <f>IF(C45="","",IF(K45=1,1,0))</f>
        <v/>
      </c>
      <c r="M45">
        <f>IF(C45="","",IF(ISNUMBER(K45),1,0))</f>
        <v/>
      </c>
      <c r="N45" t="inlineStr">
        <is>
          <t>Alveus Ultra Cuvee Brut — Фанагория — Белое брют</t>
        </is>
      </c>
      <c r="O45" t="inlineStr">
        <is>
          <t>Alveus Ultra Cuvee. Экстра брют белое — Фанагория — Белое экстра брют</t>
        </is>
      </c>
      <c r="P45" t="inlineStr">
        <is>
          <t>Alveus Ultra Cuvee. Экстра брют розовое — Фанагория — Розовое экстра брют</t>
        </is>
      </c>
      <c r="Q45" t="inlineStr">
        <is>
          <t>Alveus Ultra Cuvee. Брют розовое — Фанагория — Розовое брют</t>
        </is>
      </c>
      <c r="R45" t="inlineStr">
        <is>
          <t>Primum Alveus Brut 2016 — Фанагория — Белое брют</t>
        </is>
      </c>
    </row>
    <row r="46">
      <c r="A46" t="inlineStr">
        <is>
          <t>95.24_19-08-2026_20-00-22.webp</t>
        </is>
      </c>
      <c r="B46" t="inlineStr">
        <is>
          <t>уверенно</t>
        </is>
      </c>
      <c r="C46" t="inlineStr">
        <is>
          <t>zhemchuzhnaya-9-czitron-shardone-1</t>
        </is>
      </c>
      <c r="D46" t="inlineStr">
        <is>
          <t>Жемчужная 9 Цитрон, Шардоне — АРАТТИ — Белое полусладкое</t>
        </is>
      </c>
      <c r="F46" t="inlineStr">
        <is>
          <t>zhemchuzhnaya-9-czitron-shardone-1</t>
        </is>
      </c>
      <c r="G46" t="inlineStr">
        <is>
          <t>czitronnyj-magaracha-sovinon-blan</t>
        </is>
      </c>
      <c r="H46" t="inlineStr">
        <is>
          <t>zhemchuzhnaya-9-czitron-shardone</t>
        </is>
      </c>
      <c r="I46" t="inlineStr">
        <is>
          <t>zhemchuzhnaya-9-aligote-czitron</t>
        </is>
      </c>
      <c r="J46" t="inlineStr">
        <is>
          <t>zhemchuzhnaya-9-sovinon-blan-aligote</t>
        </is>
      </c>
      <c r="K46">
        <f>IF(C46="","",IFERROR(MATCH(C46,F46:J46,0),"нет"))</f>
        <v/>
      </c>
      <c r="L46">
        <f>IF(C46="","",IF(K46=1,1,0))</f>
        <v/>
      </c>
      <c r="M46">
        <f>IF(C46="","",IF(ISNUMBER(K46),1,0))</f>
        <v/>
      </c>
      <c r="N46" t="inlineStr">
        <is>
          <t>Жемчужная 9 Цитрон, Шардоне — АРАТТИ — Белое полусладкое</t>
        </is>
      </c>
      <c r="O46" t="inlineStr">
        <is>
          <t>Жемчужная 9 Цитрон, Совиньон блан — АРАТТИ — Белое полусухое</t>
        </is>
      </c>
      <c r="P46" t="inlineStr">
        <is>
          <t>Жемчужная 9 Цитрон, Шардоне — АРАТТИ — Белое сухое</t>
        </is>
      </c>
      <c r="Q46" t="inlineStr">
        <is>
          <t>Жемчужная 9 Алиготе, Цитрон — АРАТТИ — Белое сухое</t>
        </is>
      </c>
      <c r="R46" t="inlineStr">
        <is>
          <t>Жемчужная 9 Совиньон блан, Алиготе — АРАТТИ — Белое сухое</t>
        </is>
      </c>
    </row>
    <row r="47">
      <c r="A47" t="inlineStr">
        <is>
          <t>95.29_21-08-2026_17-24-49.webp</t>
        </is>
      </c>
      <c r="B47" t="inlineStr">
        <is>
          <t>нет в каталоге</t>
        </is>
      </c>
      <c r="F47" t="inlineStr">
        <is>
          <t>bakla-vines-pino-nuar-krasnoe-suhoe-125</t>
        </is>
      </c>
      <c r="G47" t="inlineStr">
        <is>
          <t>risling-1</t>
        </is>
      </c>
      <c r="H47" t="inlineStr">
        <is>
          <t>vaynkraft-pino-nuar-krasnoe-suhoe-13</t>
        </is>
      </c>
      <c r="I47" t="inlineStr">
        <is>
          <t>usadba-mezyb-shishka-pino-nuar-rozovoe-suhoe-115</t>
        </is>
      </c>
      <c r="J47" t="inlineStr">
        <is>
          <t>oleg</t>
        </is>
      </c>
      <c r="K47">
        <f>IF(C47="","",IFERROR(MATCH(C47,F47:J47,0),"нет"))</f>
        <v/>
      </c>
      <c r="L47">
        <f>IF(C47="","",IF(K47=1,1,0))</f>
        <v/>
      </c>
      <c r="M47">
        <f>IF(C47="","",IF(ISNUMBER(K47),1,0))</f>
        <v/>
      </c>
      <c r="N47" t="inlineStr">
        <is>
          <t>Пино Нуар — Bakla Vines — Красное сухое</t>
        </is>
      </c>
      <c r="O47" t="inlineStr">
        <is>
          <t>Рислинг — Табия — Белое полусухое</t>
        </is>
      </c>
      <c r="P47" t="inlineStr">
        <is>
          <t>Пино Нуар — ВайнКрафт — Красное сухое</t>
        </is>
      </c>
      <c r="Q47" t="inlineStr">
        <is>
          <t>Шишка. Пино Нуар — Усадьба Мезыбь — Розовое сухое</t>
        </is>
      </c>
      <c r="R47" t="inlineStr">
        <is>
          <t>Олег — Табия — Белое сухое</t>
        </is>
      </c>
    </row>
    <row r="48">
      <c r="A48" t="inlineStr">
        <is>
          <t>95.2_05-09-2026_13-54-13.webp</t>
        </is>
      </c>
      <c r="B48" t="inlineStr">
        <is>
          <t>уверенно</t>
        </is>
      </c>
      <c r="C48" t="inlineStr">
        <is>
          <t>aratti-kaberne-po-belomu-1</t>
        </is>
      </c>
      <c r="D48" t="inlineStr">
        <is>
          <t>АРАТТИ Каберне по-белому — АРАТТИ — Розовое полусухое</t>
        </is>
      </c>
      <c r="F48" t="inlineStr">
        <is>
          <t>aratti-kaberne-po-belomu-1</t>
        </is>
      </c>
      <c r="G48" t="inlineStr">
        <is>
          <t>aratti-kaberne-po-belomu</t>
        </is>
      </c>
      <c r="H48" t="inlineStr">
        <is>
          <t>aratti-kaberne-sovinon-2021-krasnoe-suhoe</t>
        </is>
      </c>
      <c r="I48" t="inlineStr">
        <is>
          <t>aratti-muskat-belyj-polusuhoe</t>
        </is>
      </c>
      <c r="J48" t="inlineStr">
        <is>
          <t>aratti-sovinon-blan-beloe-polusuhoe</t>
        </is>
      </c>
      <c r="K48">
        <f>IF(C48="","",IFERROR(MATCH(C48,F48:J48,0),"нет"))</f>
        <v/>
      </c>
      <c r="L48">
        <f>IF(C48="","",IF(K48=1,1,0))</f>
        <v/>
      </c>
      <c r="M48">
        <f>IF(C48="","",IF(ISNUMBER(K48),1,0))</f>
        <v/>
      </c>
      <c r="N48" t="inlineStr">
        <is>
          <t>АРАТТИ Каберне по-белому — АРАТТИ — Розовое полусухое</t>
        </is>
      </c>
      <c r="O48" t="inlineStr">
        <is>
          <t>АРАТТИ Каберне по-белому — АРАТТИ — Красное сухое</t>
        </is>
      </c>
      <c r="P48" t="inlineStr">
        <is>
          <t>АРАТТИ Каберне Совиньон 2021 красное сухое — АРАТТИ — Красное сухое</t>
        </is>
      </c>
      <c r="Q48" t="inlineStr">
        <is>
          <t>АРАТТИ Мускат белый полусухое — АРАТТИ — Белое полусухое</t>
        </is>
      </c>
      <c r="R48" t="inlineStr">
        <is>
          <t>АРАТТИ Совиньон блан белое полусухое — АРАТТИ — Белое полусухое</t>
        </is>
      </c>
    </row>
    <row r="49">
      <c r="A49" t="inlineStr">
        <is>
          <t>95.32_02-09-2026_12-09-23.webp</t>
        </is>
      </c>
      <c r="B49" t="inlineStr">
        <is>
          <t>уверенно</t>
        </is>
      </c>
      <c r="C49" t="inlineStr">
        <is>
          <t>sovinon-blan</t>
        </is>
      </c>
      <c r="D49" t="inlineStr">
        <is>
          <t>Совиньон Блан — Литавщук. Litavshchuk vineyards &amp; winery — Белое полусладкое</t>
        </is>
      </c>
      <c r="F49" t="inlineStr">
        <is>
          <t>sovinon-blan</t>
        </is>
      </c>
      <c r="G49" t="inlineStr">
        <is>
          <t>domashnyaya-gorka</t>
        </is>
      </c>
      <c r="H49" t="inlineStr">
        <is>
          <t>blagolyubov-sovinon-blan-beloe-suhoe-125</t>
        </is>
      </c>
      <c r="I49" t="inlineStr">
        <is>
          <t>dubinin-winery-sovinon-blan-beloe-suhoe-12</t>
        </is>
      </c>
      <c r="J49" t="inlineStr">
        <is>
          <t>risling-2</t>
        </is>
      </c>
      <c r="K49">
        <f>IF(C49="","",IFERROR(MATCH(C49,F49:J49,0),"нет"))</f>
        <v/>
      </c>
      <c r="L49">
        <f>IF(C49="","",IF(K49=1,1,0))</f>
        <v/>
      </c>
      <c r="M49">
        <f>IF(C49="","",IF(ISNUMBER(K49),1,0))</f>
        <v/>
      </c>
      <c r="N49" t="inlineStr">
        <is>
          <t>Совиньон Блан — Литавщук. Litavshchuk vineyards &amp; winery — Белое полусладкое</t>
        </is>
      </c>
      <c r="O49" t="inlineStr">
        <is>
          <t>Домашняя горка  — Литавщук. Litavshchuk vineyards &amp; winery — Белое полусладкое</t>
        </is>
      </c>
      <c r="P49" t="inlineStr">
        <is>
          <t>Совиньон Блан — Благолюбов — Белое сухое</t>
        </is>
      </c>
      <c r="Q49" t="inlineStr">
        <is>
          <t>Совиньон Блан — Dubinin Winery — Белое сухое</t>
        </is>
      </c>
      <c r="R49" t="inlineStr">
        <is>
          <t>Рислинг  — Литавщук. Litavshchuk vineyards &amp; winery — Белое полусухое</t>
        </is>
      </c>
    </row>
    <row r="50">
      <c r="A50" t="inlineStr">
        <is>
          <t>95.35_05-09-2026_15-29-53.webp</t>
        </is>
      </c>
      <c r="B50" t="inlineStr">
        <is>
          <t>нет в каталоге</t>
        </is>
      </c>
      <c r="F50" t="inlineStr">
        <is>
          <t>fanagoriya-alveus-ultra-cuvee-brut-shardone-beloe-bryut-12</t>
        </is>
      </c>
      <c r="G50" t="inlineStr">
        <is>
          <t>fanagoriya-alveus-ultra-cuvee-ekstra-bryut-rozovoe-merlo-12</t>
        </is>
      </c>
      <c r="H50" t="inlineStr">
        <is>
          <t>fanagoriya-alveus-ultra-cuvee-ekstra-bryut-beloe-risling-reynskiy-12</t>
        </is>
      </c>
      <c r="I50" t="inlineStr">
        <is>
          <t>fanagoriya-alveus-ultra-cuvee-bryut-rozovoe-merlo-igristoe-bryut-rozovoe-12</t>
        </is>
      </c>
      <c r="J50" t="inlineStr">
        <is>
          <t>fanagoriya-primum-alveus-brut-2016-shardone-igristoe-bryut-beloe-12</t>
        </is>
      </c>
      <c r="K50">
        <f>IF(C50="","",IFERROR(MATCH(C50,F50:J50,0),"нет"))</f>
        <v/>
      </c>
      <c r="L50">
        <f>IF(C50="","",IF(K50=1,1,0))</f>
        <v/>
      </c>
      <c r="M50">
        <f>IF(C50="","",IF(ISNUMBER(K50),1,0))</f>
        <v/>
      </c>
      <c r="N50" t="inlineStr">
        <is>
          <t>Alveus Ultra Cuvee Brut — Фанагория — Белое брют</t>
        </is>
      </c>
      <c r="O50" t="inlineStr">
        <is>
          <t>Alveus Ultra Cuvee. Экстра брют розовое — Фанагория — Розовое экстра брют</t>
        </is>
      </c>
      <c r="P50" t="inlineStr">
        <is>
          <t>Alveus Ultra Cuvee. Экстра брют белое — Фанагория — Белое экстра брют</t>
        </is>
      </c>
      <c r="Q50" t="inlineStr">
        <is>
          <t>Alveus Ultra Cuvee. Брют розовое — Фанагория — Розовое брют</t>
        </is>
      </c>
      <c r="R50" t="inlineStr">
        <is>
          <t>Primum Alveus Brut 2016 — Фанагория — Белое брют</t>
        </is>
      </c>
    </row>
    <row r="51">
      <c r="A51" t="inlineStr">
        <is>
          <t>95.36_28-08-2026_17-09-04.webp</t>
        </is>
      </c>
      <c r="B51" t="inlineStr">
        <is>
          <t>нет в каталоге</t>
        </is>
      </c>
      <c r="F51" t="inlineStr">
        <is>
          <t>winemaker-selection</t>
        </is>
      </c>
      <c r="G51" t="inlineStr">
        <is>
          <t>inkerman-shato-blan</t>
        </is>
      </c>
      <c r="H51" t="inlineStr">
        <is>
          <t>inkermanskiy-zmv-inkerman-polusladkoe-rkatsiteli-beloe-13</t>
        </is>
      </c>
      <c r="I51" t="inlineStr">
        <is>
          <t>inkermanskiy-zmv-inkerman-bryut-rkatsiteli-beloe-12</t>
        </is>
      </c>
      <c r="J51" t="inlineStr">
        <is>
          <t>inkermanskiy-zmv-winemakers-selection-saperavi-krasnoe-polusladkoe-12</t>
        </is>
      </c>
      <c r="K51">
        <f>IF(C51="","",IFERROR(MATCH(C51,F51:J51,0),"нет"))</f>
        <v/>
      </c>
      <c r="L51">
        <f>IF(C51="","",IF(K51=1,1,0))</f>
        <v/>
      </c>
      <c r="M51">
        <f>IF(C51="","",IF(ISNUMBER(K51),1,0))</f>
        <v/>
      </c>
      <c r="N51" t="inlineStr">
        <is>
          <t>Winemaker selection — Инкерманский ЗМВ — Белое полусухое</t>
        </is>
      </c>
      <c r="O51" t="inlineStr">
        <is>
          <t>Инкерман Шато Блан — Инкерманский ЗМВ — Белое полусухое</t>
        </is>
      </c>
      <c r="P51" t="inlineStr">
        <is>
          <t>Инкерман полусладкое — Инкерманский ЗМВ — Белое полусладкое</t>
        </is>
      </c>
      <c r="Q51" t="inlineStr">
        <is>
          <t>Инкерман Брют — Инкерманский ЗМВ — Белое брют</t>
        </is>
      </c>
      <c r="R51" t="inlineStr">
        <is>
          <t>Winemaker's Selection Саперави — Инкерманский ЗМВ — Красное полусладкое</t>
        </is>
      </c>
    </row>
    <row r="52">
      <c r="A52" t="inlineStr">
        <is>
          <t>95.49_05-09-2026_15-34-51.webp</t>
        </is>
      </c>
      <c r="B52" t="inlineStr">
        <is>
          <t>уверенно</t>
        </is>
      </c>
      <c r="C52" t="inlineStr">
        <is>
          <t>zhemchuzhnaya-9-pino-nuar-muskat-rozovyj-2</t>
        </is>
      </c>
      <c r="D52" t="inlineStr">
        <is>
          <t>Жемчужная 9 Пино нуар, Мускат Розовый — АРАТТИ — Розовое полусладкое</t>
        </is>
      </c>
      <c r="F52" t="inlineStr">
        <is>
          <t>zhemchuzhnaya-9-pino-nuar-muskat-rozovyj-2</t>
        </is>
      </c>
      <c r="G52" t="inlineStr">
        <is>
          <t>zhemchuzhnaya-9-pino-nuar-muskat-rozovyj-1</t>
        </is>
      </c>
      <c r="H52" t="inlineStr">
        <is>
          <t>zhemchuzhnaya-9-pino-nuar-muskat-rozovyj</t>
        </is>
      </c>
      <c r="I52" t="inlineStr">
        <is>
          <t>zhemchuzhnaya-9-muskat-rozovyj-kaberne-sovinon</t>
        </is>
      </c>
      <c r="J52" t="inlineStr">
        <is>
          <t>zhemchuzhnaya-9-muskat-rozovyj-pino-gri</t>
        </is>
      </c>
      <c r="K52">
        <f>IF(C52="","",IFERROR(MATCH(C52,F52:J52,0),"нет"))</f>
        <v/>
      </c>
      <c r="L52">
        <f>IF(C52="","",IF(K52=1,1,0))</f>
        <v/>
      </c>
      <c r="M52">
        <f>IF(C52="","",IF(ISNUMBER(K52),1,0))</f>
        <v/>
      </c>
      <c r="N52" t="inlineStr">
        <is>
          <t>Жемчужная 9 Пино нуар, Мускат Розовый — АРАТТИ — Розовое полусладкое</t>
        </is>
      </c>
      <c r="O52" t="inlineStr">
        <is>
          <t>Жемчужная 9 Пино Нуар, Мускат розовый — АРАТТИ — Розовое полусухое</t>
        </is>
      </c>
      <c r="P52" t="inlineStr">
        <is>
          <t>Жемчужная 9 Пино Нуар, Мускат Розовый — АРАТТИ — Розовое сухое</t>
        </is>
      </c>
      <c r="Q52" t="inlineStr">
        <is>
          <t>Жемчужная 9 Мускат Розовый, Каберне Совиньон — АРАТТИ — Розовое полусладкое</t>
        </is>
      </c>
      <c r="R52" t="inlineStr">
        <is>
          <t>Жемчужная 9 Мускат Розовый, Пино гри — АРАТТИ — Розовое сухое</t>
        </is>
      </c>
    </row>
    <row r="53">
      <c r="A53" t="inlineStr">
        <is>
          <t>95.63_24-08-2026_17-47-43.webp</t>
        </is>
      </c>
      <c r="B53" t="inlineStr">
        <is>
          <t>уверенно</t>
        </is>
      </c>
      <c r="C53" t="inlineStr">
        <is>
          <t>rubin-golodrigi</t>
        </is>
      </c>
      <c r="D53" t="inlineStr">
        <is>
          <t>Рубин Голодриги  — Табия — Красное сухое</t>
        </is>
      </c>
      <c r="F53" t="inlineStr">
        <is>
          <t>rubin-golodrigi</t>
        </is>
      </c>
      <c r="G53" t="inlineStr">
        <is>
          <t>kaberne-sovinon-2</t>
        </is>
      </c>
      <c r="H53" t="inlineStr">
        <is>
          <t>bukovinka</t>
        </is>
      </c>
      <c r="I53" t="inlineStr">
        <is>
          <t>roze-2</t>
        </is>
      </c>
      <c r="J53" t="inlineStr">
        <is>
          <t>rozovoe-zoloto</t>
        </is>
      </c>
      <c r="K53">
        <f>IF(C53="","",IFERROR(MATCH(C53,F53:J53,0),"нет"))</f>
        <v/>
      </c>
      <c r="L53">
        <f>IF(C53="","",IF(K53=1,1,0))</f>
        <v/>
      </c>
      <c r="M53">
        <f>IF(C53="","",IF(ISNUMBER(K53),1,0))</f>
        <v/>
      </c>
      <c r="N53" t="inlineStr">
        <is>
          <t>Рубин Голодриги  — Табия — Красное сухое</t>
        </is>
      </c>
      <c r="O53" t="inlineStr">
        <is>
          <t>Каберне Совиньон — Табия — Красное сухое</t>
        </is>
      </c>
      <c r="P53" t="inlineStr">
        <is>
          <t>Буковинка — Табия — Белое полусухое</t>
        </is>
      </c>
      <c r="Q53" t="inlineStr">
        <is>
          <t>Розе — Табия — Розовое сухое</t>
        </is>
      </c>
      <c r="R53" t="inlineStr">
        <is>
          <t>Розовое золото — Табия — Розовое полусухое</t>
        </is>
      </c>
    </row>
    <row r="54">
      <c r="A54" t="inlineStr">
        <is>
          <t>95.75_02-09-2026_14-47-49.webp</t>
        </is>
      </c>
      <c r="B54" t="inlineStr">
        <is>
          <t>уверенно</t>
        </is>
      </c>
      <c r="C54" t="inlineStr">
        <is>
          <t>uva-vallis-risling</t>
        </is>
      </c>
      <c r="D54" t="inlineStr">
        <is>
          <t>Uva Vallis Рислинг — Uva Vallis — Красное сухое</t>
        </is>
      </c>
      <c r="F54" t="inlineStr">
        <is>
          <t>uva-vallis-risling</t>
        </is>
      </c>
      <c r="G54" t="inlineStr">
        <is>
          <t>uva-vallis-shardone</t>
        </is>
      </c>
      <c r="H54" t="inlineStr">
        <is>
          <t>uva-vallis-sira</t>
        </is>
      </c>
      <c r="I54" t="inlineStr">
        <is>
          <t>uva-vallis-sovinon-blan</t>
        </is>
      </c>
      <c r="J54" t="inlineStr">
        <is>
          <t>agora-rosa-viva-riesling</t>
        </is>
      </c>
      <c r="K54">
        <f>IF(C54="","",IFERROR(MATCH(C54,F54:J54,0),"нет"))</f>
        <v/>
      </c>
      <c r="L54">
        <f>IF(C54="","",IF(K54=1,1,0))</f>
        <v/>
      </c>
      <c r="M54">
        <f>IF(C54="","",IF(ISNUMBER(K54),1,0))</f>
        <v/>
      </c>
      <c r="N54" t="inlineStr">
        <is>
          <t>Uva Vallis Рислинг — Uva Vallis — Красное сухое</t>
        </is>
      </c>
      <c r="O54" t="inlineStr">
        <is>
          <t>Uva Vallis Шардоне — Uva Vallis — Белое сухое</t>
        </is>
      </c>
      <c r="P54" t="inlineStr">
        <is>
          <t>Uva Vallis Сира — Uva Vallis — Красное сухое</t>
        </is>
      </c>
      <c r="Q54" t="inlineStr">
        <is>
          <t>Uva Vallis Совиньон Блан — Uva Vallis — Белое сухое</t>
        </is>
      </c>
      <c r="R54" t="inlineStr">
        <is>
          <t>Agora ROSA VIVA Riesling — AGORA WINERY — Белое сухое</t>
        </is>
      </c>
    </row>
    <row r="55">
      <c r="A55" t="inlineStr">
        <is>
          <t>95.76_23-08-2026_18-19-43.webp</t>
        </is>
      </c>
      <c r="B55" t="inlineStr">
        <is>
          <t>уверенно</t>
        </is>
      </c>
      <c r="C55" t="inlineStr">
        <is>
          <t>denisov_barynya_kurmyshi</t>
        </is>
      </c>
      <c r="D55" t="inlineStr">
        <is>
          <t>Барыня. Курмыши — Denisov Winery — Розовое сухое</t>
        </is>
      </c>
      <c r="F55" t="inlineStr">
        <is>
          <t>denisov_pereplyas_kurmyshi</t>
        </is>
      </c>
      <c r="G55" t="inlineStr">
        <is>
          <t>denisov_barynya_kurmyshi</t>
        </is>
      </c>
      <c r="H55" t="inlineStr">
        <is>
          <t>denisov-winery-assamblyazh-rubin-golodrigi-rozovoe-suhoe-12</t>
        </is>
      </c>
      <c r="I55" t="inlineStr">
        <is>
          <t>zakat-denisov-vajneri</t>
        </is>
      </c>
      <c r="J55" t="inlineStr">
        <is>
          <t>denisov_pino_noir_klaret</t>
        </is>
      </c>
      <c r="K55">
        <f>IF(C55="","",IFERROR(MATCH(C55,F55:J55,0),"нет"))</f>
        <v/>
      </c>
      <c r="L55">
        <f>IF(C55="","",IF(K55=1,1,0))</f>
        <v/>
      </c>
      <c r="M55">
        <f>IF(C55="","",IF(ISNUMBER(K55),1,0))</f>
        <v/>
      </c>
      <c r="N55" t="inlineStr">
        <is>
          <t>Перепляс. Курмыши — Denisov Winery — Розовое сухое</t>
        </is>
      </c>
      <c r="O55" t="inlineStr">
        <is>
          <t>Барыня. Курмыши — Denisov Winery — Розовое сухое</t>
        </is>
      </c>
      <c r="P55" t="inlineStr">
        <is>
          <t>Ассамбляж — Denisov Winery — Розовое сухое</t>
        </is>
      </c>
      <c r="Q55" t="inlineStr">
        <is>
          <t>Закат. Денисов Вайнери — Denisov Winery — Розовое сухое</t>
        </is>
      </c>
      <c r="R55" t="inlineStr">
        <is>
          <t>Пино Нуар кларет. Красная стрелка — Denisov Winery — Розовое сухое</t>
        </is>
      </c>
    </row>
    <row r="56">
      <c r="A56" t="inlineStr">
        <is>
          <t>95.88_02-09-2026_14-41-59.webp</t>
        </is>
      </c>
      <c r="B56" t="inlineStr">
        <is>
          <t>уверенно</t>
        </is>
      </c>
      <c r="C56" t="inlineStr">
        <is>
          <t>fanagoriya-zelyonoe-vino-risling-tsitronnyy-magaracha-beloe-polusuhoe-11</t>
        </is>
      </c>
      <c r="D56" t="inlineStr">
        <is>
          <t>Зелёное вино. Рислинг - Цитронный Магарача — Фанагория — Белое полусухое</t>
        </is>
      </c>
      <c r="F56" t="inlineStr">
        <is>
          <t>fanagoriya-zelyonoe-vino-risling-tsitronnyy-magaracha-beloe-polusuhoe-11</t>
        </is>
      </c>
      <c r="G56" t="inlineStr">
        <is>
          <t>fanagoriya-zelyonoe-vino-risling-tsitronnyy-magaracha-merlo-rozovoe-polusuhoe-11</t>
        </is>
      </c>
      <c r="H56" t="inlineStr">
        <is>
          <t>fanagoriya-dekanter-riesling-2020-risling-reynskiy-beloe-suhoe-13</t>
        </is>
      </c>
      <c r="I56" t="inlineStr">
        <is>
          <t>fanagoriya-100-ottenkov-shardone-beloe-suhoe-14</t>
        </is>
      </c>
      <c r="J56" t="inlineStr">
        <is>
          <t>blagolyubov-stanichnoe-stanichnyy-beloe-suhoe-12</t>
        </is>
      </c>
      <c r="K56">
        <f>IF(C56="","",IFERROR(MATCH(C56,F56:J56,0),"нет"))</f>
        <v/>
      </c>
      <c r="L56">
        <f>IF(C56="","",IF(K56=1,1,0))</f>
        <v/>
      </c>
      <c r="M56">
        <f>IF(C56="","",IF(ISNUMBER(K56),1,0))</f>
        <v/>
      </c>
      <c r="N56" t="inlineStr">
        <is>
          <t>Зелёное вино. Рислинг - Цитронный Магарача — Фанагория — Белое полусухое</t>
        </is>
      </c>
      <c r="O56" t="inlineStr">
        <is>
          <t>Зелёное вино. Рислинг - Цитронный Магарача - Мерло — Фанагория — Розовое полусухое</t>
        </is>
      </c>
      <c r="P56" t="inlineStr">
        <is>
          <t>Декантер Riesling 2020 — Фанагория — Белое сухое</t>
        </is>
      </c>
      <c r="Q56" t="inlineStr">
        <is>
          <t>100 оттенков. Шардоне — Фанагория — Белое сухое</t>
        </is>
      </c>
      <c r="R56" t="inlineStr">
        <is>
          <t>Станичное — Благолюбов — Белое сухое</t>
        </is>
      </c>
    </row>
    <row r="57">
      <c r="A57" t="inlineStr">
        <is>
          <t>95.8_19-08-2026_19-33-23.webp</t>
        </is>
      </c>
      <c r="B57" t="inlineStr">
        <is>
          <t>уверенно</t>
        </is>
      </c>
      <c r="C57" t="inlineStr">
        <is>
          <t>roze-2</t>
        </is>
      </c>
      <c r="D57" t="inlineStr">
        <is>
          <t>Розе — Табия — Розовое сухое</t>
        </is>
      </c>
      <c r="F57" t="inlineStr">
        <is>
          <t>roze-2</t>
        </is>
      </c>
      <c r="G57" t="inlineStr">
        <is>
          <t>rozovoe-zoloto</t>
        </is>
      </c>
      <c r="H57" t="inlineStr">
        <is>
          <t>bukovinka</t>
        </is>
      </c>
      <c r="I57" t="inlineStr">
        <is>
          <t>rubin-golodrigi</t>
        </is>
      </c>
      <c r="J57" t="inlineStr">
        <is>
          <t>oleg</t>
        </is>
      </c>
      <c r="K57">
        <f>IF(C57="","",IFERROR(MATCH(C57,F57:J57,0),"нет"))</f>
        <v/>
      </c>
      <c r="L57">
        <f>IF(C57="","",IF(K57=1,1,0))</f>
        <v/>
      </c>
      <c r="M57">
        <f>IF(C57="","",IF(ISNUMBER(K57),1,0))</f>
        <v/>
      </c>
      <c r="N57" t="inlineStr">
        <is>
          <t>Розе — Табия — Розовое сухое</t>
        </is>
      </c>
      <c r="O57" t="inlineStr">
        <is>
          <t>Розовое золото — Табия — Розовое полусухое</t>
        </is>
      </c>
      <c r="P57" t="inlineStr">
        <is>
          <t>Буковинка — Табия — Белое полусухое</t>
        </is>
      </c>
      <c r="Q57" t="inlineStr">
        <is>
          <t>Рубин Голодриги  — Табия — Красное сухое</t>
        </is>
      </c>
      <c r="R57" t="inlineStr">
        <is>
          <t>Олег — Табия — Белое сухое</t>
        </is>
      </c>
    </row>
    <row r="58">
      <c r="A58" t="inlineStr">
        <is>
          <t>95.8_19-08-2026_20-47-59.webp</t>
        </is>
      </c>
      <c r="B58" t="inlineStr">
        <is>
          <t>не уверен</t>
        </is>
      </c>
      <c r="C58" t="inlineStr">
        <is>
          <t>denisov-winery-sovinon-blan-beloe-suhoe-115</t>
        </is>
      </c>
      <c r="D58" t="inlineStr">
        <is>
          <t>Совиньон Блан — Denisov Winery — Белое сухое</t>
        </is>
      </c>
      <c r="E58" t="inlineStr">
        <is>
          <t>этикетка по цвету другая</t>
        </is>
      </c>
      <c r="F58" t="inlineStr">
        <is>
          <t>denisov-winery-sovinon-blan-beloe-suhoe-115</t>
        </is>
      </c>
      <c r="G58" t="inlineStr">
        <is>
          <t>dubinin-winery-sovinon-blan-beloe-suhoe-12</t>
        </is>
      </c>
      <c r="H58" t="inlineStr">
        <is>
          <t>sovinon-blan</t>
        </is>
      </c>
      <c r="I58" t="inlineStr">
        <is>
          <t>sovinon-blan-krasnaya-gorka</t>
        </is>
      </c>
      <c r="J58" t="inlineStr">
        <is>
          <t>blagolyubov-sovinon-blan-beloe-suhoe-125</t>
        </is>
      </c>
      <c r="K58">
        <f>IF(C58="","",IFERROR(MATCH(C58,F58:J58,0),"нет"))</f>
        <v/>
      </c>
      <c r="L58">
        <f>IF(C58="","",IF(K58=1,1,0))</f>
        <v/>
      </c>
      <c r="M58">
        <f>IF(C58="","",IF(ISNUMBER(K58),1,0))</f>
        <v/>
      </c>
      <c r="N58" t="inlineStr">
        <is>
          <t>Совиньон Блан — Denisov Winery — Белое сухое</t>
        </is>
      </c>
      <c r="O58" t="inlineStr">
        <is>
          <t>Совиньон Блан — Dubinin Winery — Белое сухое</t>
        </is>
      </c>
      <c r="P58" t="inlineStr">
        <is>
          <t>Совиньон Блан — Литавщук. Litavshchuk vineyards &amp; winery — Белое полусладкое</t>
        </is>
      </c>
      <c r="Q58" t="inlineStr">
        <is>
          <t>Совиньон Блан — Галицкий и Галицкий — Белое сухое</t>
        </is>
      </c>
      <c r="R58" t="inlineStr">
        <is>
          <t>Совиньон Блан — Благолюбов — Белое сухое</t>
        </is>
      </c>
    </row>
    <row r="59">
      <c r="A59" t="inlineStr">
        <is>
          <t>96.05_28-08-2026_09-14-57.webp</t>
        </is>
      </c>
      <c r="B59" t="inlineStr">
        <is>
          <t>нет в каталоге</t>
        </is>
      </c>
      <c r="F59" t="inlineStr">
        <is>
          <t>usadba-divnomorskoe-yuzhnyy-les-merlo-krasnoe-suhoe-137</t>
        </is>
      </c>
      <c r="G59" t="inlineStr">
        <is>
          <t>usadba-divnomorskoe-solnechnyy-veter-shardone-beloe-suhoe-125</t>
        </is>
      </c>
      <c r="H59" t="inlineStr">
        <is>
          <t>usadba-divnomorskoe-solist-marselan-rozovoe-suhoe-115</t>
        </is>
      </c>
      <c r="I59" t="inlineStr">
        <is>
          <t>usadba-divnomorskoe-holodnyy-tuman-risling-beloe-suhoe-115</t>
        </is>
      </c>
      <c r="J59" t="inlineStr">
        <is>
          <t>vinodelnya-vedernikov-vedernikov-krasnostop-zolotovskiy-magnum-krasnoe-suhoe-145</t>
        </is>
      </c>
      <c r="K59">
        <f>IF(C59="","",IFERROR(MATCH(C59,F59:J59,0),"нет"))</f>
        <v/>
      </c>
      <c r="L59">
        <f>IF(C59="","",IF(K59=1,1,0))</f>
        <v/>
      </c>
      <c r="M59">
        <f>IF(C59="","",IF(ISNUMBER(K59),1,0))</f>
        <v/>
      </c>
      <c r="N59" t="inlineStr">
        <is>
          <t>Южный Лес — Усадьба Дивноморское — Красное сухое</t>
        </is>
      </c>
      <c r="O59" t="inlineStr">
        <is>
          <t>Солнечный Ветер — Усадьба Дивноморское — Белое сухое</t>
        </is>
      </c>
      <c r="P59" t="inlineStr">
        <is>
          <t>Солист — Усадьба Дивноморское — Розовое сухое</t>
        </is>
      </c>
      <c r="Q59" t="inlineStr">
        <is>
          <t>Холодный Туман — Усадьба Дивноморское — Белое сухое</t>
        </is>
      </c>
      <c r="R59" t="inlineStr">
        <is>
          <t>Ведерниковъ Красностоп Золотовский (магнум) — Ведерниковъ — Красное сухое</t>
        </is>
      </c>
    </row>
    <row r="60">
      <c r="A60" t="inlineStr">
        <is>
          <t>96.07_28-08-2026_16-10-06.webp</t>
        </is>
      </c>
      <c r="B60" t="inlineStr">
        <is>
          <t>уверенно</t>
        </is>
      </c>
      <c r="C60" t="inlineStr">
        <is>
          <t>golubitskoe-estate-kaberne-sovinon-krasnoe-suhoe-137</t>
        </is>
      </c>
      <c r="D60" t="inlineStr">
        <is>
          <t>Каберне Совиньон — Golubitskoe Estate — Красное сухое</t>
        </is>
      </c>
      <c r="F60" t="inlineStr">
        <is>
          <t>golubitskoe-estate-kaberne-sovinon-krasnoe-suhoe-137</t>
        </is>
      </c>
      <c r="G60" t="inlineStr">
        <is>
          <t>golubitskoe-estate-red-blend-kaberne-sovinon-krasnoe-suhoe-136</t>
        </is>
      </c>
      <c r="H60" t="inlineStr">
        <is>
          <t>pomeste-golubitskoe-kaberne-sovinon-rezerv-krasnoe-suhoe-143</t>
        </is>
      </c>
      <c r="I60" t="inlineStr">
        <is>
          <t>golubitskoe-estate-kaberne-sovinon-rezerv-krasnoe-suhoe-125</t>
        </is>
      </c>
      <c r="J60" t="inlineStr">
        <is>
          <t>golubitskoe-estate-sovinon-blan-beloe-suhoe-11</t>
        </is>
      </c>
      <c r="K60">
        <f>IF(C60="","",IFERROR(MATCH(C60,F60:J60,0),"нет"))</f>
        <v/>
      </c>
      <c r="L60">
        <f>IF(C60="","",IF(K60=1,1,0))</f>
        <v/>
      </c>
      <c r="M60">
        <f>IF(C60="","",IF(ISNUMBER(K60),1,0))</f>
        <v/>
      </c>
      <c r="N60" t="inlineStr">
        <is>
          <t>Каберне Совиньон — Golubitskoe Estate — Красное сухое</t>
        </is>
      </c>
      <c r="O60" t="inlineStr">
        <is>
          <t>Red Blend — Golubitskoe Estate — Красное сухое</t>
        </is>
      </c>
      <c r="P60" t="inlineStr">
        <is>
          <t>Каберне Совиньон Резерв — Golubitskoe Estate — Красное сухое</t>
        </is>
      </c>
      <c r="Q60" t="inlineStr">
        <is>
          <t>Каберне Совиньон Резерв — Golubitskoe Estate — Красное сухое</t>
        </is>
      </c>
      <c r="R60" t="inlineStr">
        <is>
          <t>Совиньон Блан — Golubitskoe Estate — Белое сухое</t>
        </is>
      </c>
    </row>
    <row r="61">
      <c r="A61" t="inlineStr">
        <is>
          <t>96.08_22-08-2026_15-12-27.webp</t>
        </is>
      </c>
      <c r="B61" t="inlineStr">
        <is>
          <t>уверенно</t>
        </is>
      </c>
      <c r="C61" t="inlineStr">
        <is>
          <t>zhemchuzhnaya-9-czitron-shardone-1</t>
        </is>
      </c>
      <c r="D61" t="inlineStr">
        <is>
          <t>Жемчужная 9 Цитрон, Шардоне — АРАТТИ — Белое полусладкое</t>
        </is>
      </c>
      <c r="F61" t="inlineStr">
        <is>
          <t>zhemchuzhnaya-9-czitron-shardone-1</t>
        </is>
      </c>
      <c r="G61" t="inlineStr">
        <is>
          <t>zhemchuzhnaya-9-czitron-shardone</t>
        </is>
      </c>
      <c r="H61" t="inlineStr">
        <is>
          <t>czitronnyj-magaracha-sovinon-blan</t>
        </is>
      </c>
      <c r="I61" t="inlineStr">
        <is>
          <t>zhemchuzhnaya-9-aligote-czitron</t>
        </is>
      </c>
      <c r="J61" t="inlineStr">
        <is>
          <t>zhemchuzhnaya-9-risling-sovinon-blan</t>
        </is>
      </c>
      <c r="K61">
        <f>IF(C61="","",IFERROR(MATCH(C61,F61:J61,0),"нет"))</f>
        <v/>
      </c>
      <c r="L61">
        <f>IF(C61="","",IF(K61=1,1,0))</f>
        <v/>
      </c>
      <c r="M61">
        <f>IF(C61="","",IF(ISNUMBER(K61),1,0))</f>
        <v/>
      </c>
      <c r="N61" t="inlineStr">
        <is>
          <t>Жемчужная 9 Цитрон, Шардоне — АРАТТИ — Белое полусладкое</t>
        </is>
      </c>
      <c r="O61" t="inlineStr">
        <is>
          <t>Жемчужная 9 Цитрон, Шардоне — АРАТТИ — Белое сухое</t>
        </is>
      </c>
      <c r="P61" t="inlineStr">
        <is>
          <t>Жемчужная 9 Цитрон, Совиньон блан — АРАТТИ — Белое полусухое</t>
        </is>
      </c>
      <c r="Q61" t="inlineStr">
        <is>
          <t>Жемчужная 9 Алиготе, Цитрон — АРАТТИ — Белое сухое</t>
        </is>
      </c>
      <c r="R61" t="inlineStr">
        <is>
          <t>Жемчужная 9 Рислинг,Совиньон блан — АРАТТИ — Белое полусухое</t>
        </is>
      </c>
    </row>
    <row r="62">
      <c r="A62" t="inlineStr">
        <is>
          <t>96.08_28-08-2026_16-29-50.webp</t>
        </is>
      </c>
      <c r="B62" t="inlineStr">
        <is>
          <t>уверенно</t>
        </is>
      </c>
      <c r="C62" t="inlineStr">
        <is>
          <t>golubitskoe-estate-merlo-krasnoe-suhoe-135</t>
        </is>
      </c>
      <c r="D62" t="inlineStr">
        <is>
          <t>Мерло — Golubitskoe Estate — Красное сухое</t>
        </is>
      </c>
      <c r="F62" t="inlineStr">
        <is>
          <t>golubitskoe-estate-merlo-krasnoe-suhoe-135</t>
        </is>
      </c>
      <c r="G62" t="inlineStr">
        <is>
          <t>golubitskoe-estate-merlo-rezerv-krasnoe-suhoe-135</t>
        </is>
      </c>
      <c r="H62" t="inlineStr">
        <is>
          <t>golubitskoe-estate-red-blend-kaberne-sovinon-krasnoe-suhoe-136</t>
        </is>
      </c>
      <c r="I62" t="inlineStr">
        <is>
          <t>golubitskoe-estate-pino-nuar-rezerv-krasnoe-suhoe-132</t>
        </is>
      </c>
      <c r="J62" t="inlineStr">
        <is>
          <t>pomeste-golubitskoe-kaberne-sovinon-rezerv-krasnoe-suhoe-143</t>
        </is>
      </c>
      <c r="K62">
        <f>IF(C62="","",IFERROR(MATCH(C62,F62:J62,0),"нет"))</f>
        <v/>
      </c>
      <c r="L62">
        <f>IF(C62="","",IF(K62=1,1,0))</f>
        <v/>
      </c>
      <c r="M62">
        <f>IF(C62="","",IF(ISNUMBER(K62),1,0))</f>
        <v/>
      </c>
      <c r="N62" t="inlineStr">
        <is>
          <t>Мерло — Golubitskoe Estate — Красное сухое</t>
        </is>
      </c>
      <c r="O62" t="inlineStr">
        <is>
          <t>Мерло Резерв — Golubitskoe Estate — Красное сухое</t>
        </is>
      </c>
      <c r="P62" t="inlineStr">
        <is>
          <t>Red Blend — Golubitskoe Estate — Красное сухое</t>
        </is>
      </c>
      <c r="Q62" t="inlineStr">
        <is>
          <t>Пино Нуар Резерв — Golubitskoe Estate — Красное сухое</t>
        </is>
      </c>
      <c r="R62" t="inlineStr">
        <is>
          <t>Каберне Совиньон Резерв — Golubitskoe Estate — Красное сухое</t>
        </is>
      </c>
    </row>
    <row r="63">
      <c r="A63" t="inlineStr">
        <is>
          <t>96.11_22-08-2026_21-29-20.webp</t>
        </is>
      </c>
      <c r="B63" t="inlineStr">
        <is>
          <t>нет в каталоге</t>
        </is>
      </c>
      <c r="F63" t="inlineStr">
        <is>
          <t>abrau-dyurso-udelnoe-vedomstvo-imperatorskoe-beloe-bryut</t>
        </is>
      </c>
      <c r="G63" t="inlineStr">
        <is>
          <t>abrau-dyurso-imperial-brut-vintage-shardone-beloe-bryut-12</t>
        </is>
      </c>
      <c r="H63" t="inlineStr">
        <is>
          <t>aristov-anima-millesimato-beloe-bryut</t>
        </is>
      </c>
      <c r="I63" t="inlineStr">
        <is>
          <t>abrau-dyurso-imperatorskoe-bryut-shardone-beloe-12</t>
        </is>
      </c>
      <c r="J63" t="inlineStr">
        <is>
          <t>aristov-anima-pinot-grigio-blush</t>
        </is>
      </c>
      <c r="K63">
        <f>IF(C63="","",IFERROR(MATCH(C63,F63:J63,0),"нет"))</f>
        <v/>
      </c>
      <c r="L63">
        <f>IF(C63="","",IF(K63=1,1,0))</f>
        <v/>
      </c>
      <c r="M63">
        <f>IF(C63="","",IF(ISNUMBER(K63),1,0))</f>
        <v/>
      </c>
      <c r="N63" t="inlineStr">
        <is>
          <t>Абрау Дюрсо Удельное Ведомство Императорское белое брют — Абрау-Дюрсо — Белое брют</t>
        </is>
      </c>
      <c r="O63" t="inlineStr">
        <is>
          <t>Империал. Brut Vintage — Абрау-Дюрсо — Белое брют</t>
        </is>
      </c>
      <c r="P63" t="inlineStr">
        <is>
          <t>Аристов ANIMA Millesimato белое брют — Кубань-Вино — Белое брют</t>
        </is>
      </c>
      <c r="Q63" t="inlineStr">
        <is>
          <t>Императорское брют — Абрау-Дюрсо — Белое брют</t>
        </is>
      </c>
      <c r="R63" t="inlineStr">
        <is>
          <t>Аристов Anima Pinot Grigio Blush — Кубань-Вино — Розовое брют</t>
        </is>
      </c>
    </row>
    <row r="64">
      <c r="A64" t="inlineStr">
        <is>
          <t>96.13_19-08-2026_19-33-10.webp</t>
        </is>
      </c>
      <c r="B64" t="inlineStr">
        <is>
          <t>уверенно</t>
        </is>
      </c>
      <c r="C64" t="inlineStr">
        <is>
          <t>roze-2</t>
        </is>
      </c>
      <c r="D64" t="inlineStr">
        <is>
          <t>Розе — Табия — Розовое сухое</t>
        </is>
      </c>
      <c r="F64" t="inlineStr">
        <is>
          <t>roze-2</t>
        </is>
      </c>
      <c r="G64" t="inlineStr">
        <is>
          <t>rozovoe-zoloto</t>
        </is>
      </c>
      <c r="H64" t="inlineStr">
        <is>
          <t>oleg</t>
        </is>
      </c>
      <c r="I64" t="inlineStr">
        <is>
          <t>kaberne-sovinon-2</t>
        </is>
      </c>
      <c r="J64" t="inlineStr">
        <is>
          <t>bukovinka</t>
        </is>
      </c>
      <c r="K64">
        <f>IF(C64="","",IFERROR(MATCH(C64,F64:J64,0),"нет"))</f>
        <v/>
      </c>
      <c r="L64">
        <f>IF(C64="","",IF(K64=1,1,0))</f>
        <v/>
      </c>
      <c r="M64">
        <f>IF(C64="","",IF(ISNUMBER(K64),1,0))</f>
        <v/>
      </c>
      <c r="N64" t="inlineStr">
        <is>
          <t>Розе — Табия — Розовое сухое</t>
        </is>
      </c>
      <c r="O64" t="inlineStr">
        <is>
          <t>Розовое золото — Табия — Розовое полусухое</t>
        </is>
      </c>
      <c r="P64" t="inlineStr">
        <is>
          <t>Олег — Табия — Белое сухое</t>
        </is>
      </c>
      <c r="Q64" t="inlineStr">
        <is>
          <t>Каберне Совиньон — Табия — Красное сухое</t>
        </is>
      </c>
      <c r="R64" t="inlineStr">
        <is>
          <t>Буковинка — Табия — Белое полусухое</t>
        </is>
      </c>
    </row>
    <row r="65">
      <c r="A65" t="inlineStr">
        <is>
          <t>96.15_22-08-2026_20-56-09.webp</t>
        </is>
      </c>
      <c r="B65" t="inlineStr">
        <is>
          <t>уверенно</t>
        </is>
      </c>
      <c r="C65" t="inlineStr">
        <is>
          <t>roze-2</t>
        </is>
      </c>
      <c r="D65" t="inlineStr">
        <is>
          <t>Розе — Табия — Розовое сухое</t>
        </is>
      </c>
      <c r="F65" t="inlineStr">
        <is>
          <t>roze-2</t>
        </is>
      </c>
      <c r="G65" t="inlineStr">
        <is>
          <t>rozovoe-zoloto</t>
        </is>
      </c>
      <c r="H65" t="inlineStr">
        <is>
          <t>bukovinka</t>
        </is>
      </c>
      <c r="I65" t="inlineStr">
        <is>
          <t>rubin-golodrigi</t>
        </is>
      </c>
      <c r="J65" t="inlineStr">
        <is>
          <t>oleg</t>
        </is>
      </c>
      <c r="K65">
        <f>IF(C65="","",IFERROR(MATCH(C65,F65:J65,0),"нет"))</f>
        <v/>
      </c>
      <c r="L65">
        <f>IF(C65="","",IF(K65=1,1,0))</f>
        <v/>
      </c>
      <c r="M65">
        <f>IF(C65="","",IF(ISNUMBER(K65),1,0))</f>
        <v/>
      </c>
      <c r="N65" t="inlineStr">
        <is>
          <t>Розе — Табия — Розовое сухое</t>
        </is>
      </c>
      <c r="O65" t="inlineStr">
        <is>
          <t>Розовое золото — Табия — Розовое полусухое</t>
        </is>
      </c>
      <c r="P65" t="inlineStr">
        <is>
          <t>Буковинка — Табия — Белое полусухое</t>
        </is>
      </c>
      <c r="Q65" t="inlineStr">
        <is>
          <t>Рубин Голодриги  — Табия — Красное сухое</t>
        </is>
      </c>
      <c r="R65" t="inlineStr">
        <is>
          <t>Олег — Табия — Белое сухое</t>
        </is>
      </c>
    </row>
    <row r="66">
      <c r="A66" t="inlineStr">
        <is>
          <t>96.27_20-08-2026_16-26-30.webp</t>
        </is>
      </c>
      <c r="B66" t="inlineStr">
        <is>
          <t>уверенно</t>
        </is>
      </c>
      <c r="C66" t="inlineStr">
        <is>
          <t>zhemchuzhnaya-9-pino-nuar-muskat-rozovyj-1</t>
        </is>
      </c>
      <c r="D66" t="inlineStr">
        <is>
          <t>Жемчужная 9 Пино Нуар, Мускат розовый — АРАТТИ — Розовое полусухое</t>
        </is>
      </c>
      <c r="F66" t="inlineStr">
        <is>
          <t>zhemchuzhnaya-9-pino-nuar-muskat-rozovyj-1</t>
        </is>
      </c>
      <c r="G66" t="inlineStr">
        <is>
          <t>zhemchuzhnaya-9-pino-nuar-muskat-rozovyj</t>
        </is>
      </c>
      <c r="H66" t="inlineStr">
        <is>
          <t>zhemchuzhnaya-9-pino-nuar-muskat-rozovyj-2</t>
        </is>
      </c>
      <c r="I66" t="inlineStr">
        <is>
          <t>zhemchuzhnaya-9-muskat-rozovyj-pino-gri</t>
        </is>
      </c>
      <c r="J66" t="inlineStr">
        <is>
          <t>zhemchuzhnaya-9-muskat-rozovyj-kaberne-sovinon</t>
        </is>
      </c>
      <c r="K66">
        <f>IF(C66="","",IFERROR(MATCH(C66,F66:J66,0),"нет"))</f>
        <v/>
      </c>
      <c r="L66">
        <f>IF(C66="","",IF(K66=1,1,0))</f>
        <v/>
      </c>
      <c r="M66">
        <f>IF(C66="","",IF(ISNUMBER(K66),1,0))</f>
        <v/>
      </c>
      <c r="N66" t="inlineStr">
        <is>
          <t>Жемчужная 9 Пино Нуар, Мускат розовый — АРАТТИ — Розовое полусухое</t>
        </is>
      </c>
      <c r="O66" t="inlineStr">
        <is>
          <t>Жемчужная 9 Пино Нуар, Мускат Розовый — АРАТТИ — Розовое сухое</t>
        </is>
      </c>
      <c r="P66" t="inlineStr">
        <is>
          <t>Жемчужная 9 Пино нуар, Мускат Розовый — АРАТТИ — Розовое полусладкое</t>
        </is>
      </c>
      <c r="Q66" t="inlineStr">
        <is>
          <t>Жемчужная 9 Мускат Розовый, Пино гри — АРАТТИ — Розовое сухое</t>
        </is>
      </c>
      <c r="R66" t="inlineStr">
        <is>
          <t>Жемчужная 9 Мускат Розовый, Каберне Совиньон — АРАТТИ — Розовое полусладкое</t>
        </is>
      </c>
    </row>
    <row r="67">
      <c r="A67" t="inlineStr">
        <is>
          <t>96.29_21-08-2026_19-39-02.webp</t>
        </is>
      </c>
      <c r="B67" t="inlineStr">
        <is>
          <t>не уверен</t>
        </is>
      </c>
      <c r="C67" t="inlineStr">
        <is>
          <t>denisov-winery-sovinon-blan-beloe-suhoe-115</t>
        </is>
      </c>
      <c r="D67" t="inlineStr">
        <is>
          <t>Совиньон Блан — Denisov Winery — Белое сухое</t>
        </is>
      </c>
      <c r="E67" t="inlineStr">
        <is>
          <t>этикетка немного другая. в slug черная, а на фото белая</t>
        </is>
      </c>
      <c r="F67" t="inlineStr">
        <is>
          <t>denisov-winery-sovinon-blan-beloe-suhoe-115</t>
        </is>
      </c>
      <c r="G67" t="inlineStr">
        <is>
          <t>dubinin-winery-sovinon-blan-beloe-suhoe-12</t>
        </is>
      </c>
      <c r="H67" t="inlineStr">
        <is>
          <t>blagolyubov-sovinon-blan-beloe-suhoe-125</t>
        </is>
      </c>
      <c r="I67" t="inlineStr">
        <is>
          <t>zhemchuzhnaya-9-sovinon-blan-aligote</t>
        </is>
      </c>
      <c r="J67" t="inlineStr">
        <is>
          <t>vinodelnya-myshako-sovinon-blan-avtorskaya-tehnologiya-mono-beloe-suhoe-128</t>
        </is>
      </c>
      <c r="K67">
        <f>IF(C67="","",IFERROR(MATCH(C67,F67:J67,0),"нет"))</f>
        <v/>
      </c>
      <c r="L67">
        <f>IF(C67="","",IF(K67=1,1,0))</f>
        <v/>
      </c>
      <c r="M67">
        <f>IF(C67="","",IF(ISNUMBER(K67),1,0))</f>
        <v/>
      </c>
      <c r="N67" t="inlineStr">
        <is>
          <t>Совиньон Блан — Denisov Winery — Белое сухое</t>
        </is>
      </c>
      <c r="O67" t="inlineStr">
        <is>
          <t>Совиньон Блан — Dubinin Winery — Белое сухое</t>
        </is>
      </c>
      <c r="P67" t="inlineStr">
        <is>
          <t>Совиньон Блан — Благолюбов — Белое сухое</t>
        </is>
      </c>
      <c r="Q67" t="inlineStr">
        <is>
          <t>Жемчужная 9 Совиньон блан, Алиготе — АРАТТИ — Белое сухое</t>
        </is>
      </c>
      <c r="R67" t="inlineStr">
        <is>
          <t>Совиньон Блан. Авторская технология. Моно — Мысхако — Белое сухое</t>
        </is>
      </c>
    </row>
    <row r="68">
      <c r="A68" t="inlineStr">
        <is>
          <t>96.2_28-08-2026_09-13-27.webp</t>
        </is>
      </c>
      <c r="B68" t="inlineStr">
        <is>
          <t>нет в каталоге</t>
        </is>
      </c>
      <c r="F68" t="inlineStr">
        <is>
          <t>usadba-divnomorskoe-yuzhnyy-les-merlo-krasnoe-suhoe-137</t>
        </is>
      </c>
      <c r="G68" t="inlineStr">
        <is>
          <t>usadba-divnomorskoe-solnechnyy-veter-shardone-beloe-suhoe-125</t>
        </is>
      </c>
      <c r="H68" t="inlineStr">
        <is>
          <t>usadba-divnomorskoe-solist-marselan-rozovoe-suhoe-115</t>
        </is>
      </c>
      <c r="I68" t="inlineStr">
        <is>
          <t>usadba-divnomorskoe-holodnyy-tuman-risling-beloe-suhoe-115</t>
        </is>
      </c>
      <c r="J68" t="inlineStr">
        <is>
          <t>vinodelnya-vedernikov-vedernikov-tsimlyanskiy-chyornyy-tsimlyanskiy-chernyy-krasnoe-suhoe-14</t>
        </is>
      </c>
      <c r="K68">
        <f>IF(C68="","",IFERROR(MATCH(C68,F68:J68,0),"нет"))</f>
        <v/>
      </c>
      <c r="L68">
        <f>IF(C68="","",IF(K68=1,1,0))</f>
        <v/>
      </c>
      <c r="M68">
        <f>IF(C68="","",IF(ISNUMBER(K68),1,0))</f>
        <v/>
      </c>
      <c r="N68" t="inlineStr">
        <is>
          <t>Южный Лес — Усадьба Дивноморское — Красное сухое</t>
        </is>
      </c>
      <c r="O68" t="inlineStr">
        <is>
          <t>Солнечный Ветер — Усадьба Дивноморское — Белое сухое</t>
        </is>
      </c>
      <c r="P68" t="inlineStr">
        <is>
          <t>Солист — Усадьба Дивноморское — Розовое сухое</t>
        </is>
      </c>
      <c r="Q68" t="inlineStr">
        <is>
          <t>Холодный Туман — Усадьба Дивноморское — Белое сухое</t>
        </is>
      </c>
      <c r="R68" t="inlineStr">
        <is>
          <t>Ведерниковъ Цимлянский Чёрный — Ведерниковъ — Красное сухое</t>
        </is>
      </c>
    </row>
    <row r="69">
      <c r="A69" t="inlineStr">
        <is>
          <t>96.2_28-08-2026_19-25-29.webp</t>
        </is>
      </c>
      <c r="B69" t="inlineStr">
        <is>
          <t>нет в каталоге</t>
        </is>
      </c>
      <c r="F69" t="inlineStr">
        <is>
          <t>novyy-svet-dom-shampanskih-vin-rossiyskoe-shampanskoe-kollektsionnoe-bryut-beloe-novyy-svet-yubileynoe-risling-13</t>
        </is>
      </c>
      <c r="G69" t="inlineStr">
        <is>
          <t>derbent-vino-graf-vorontsov-beloe-polusladkoe-sovinon-blan-105-125</t>
        </is>
      </c>
      <c r="H69" t="inlineStr">
        <is>
          <t>novyy-svet-dom-shampanskih-vin-rossiyskoe-shampanskoe-kollektsionnoe-bryut-beloe-novyy-svet-zolotoy-risling-suhoe-13</t>
        </is>
      </c>
      <c r="I69" t="inlineStr">
        <is>
          <t>derbent-vino-graf-vorontsov-bryut-beloe-sovinon-blan-105-125</t>
        </is>
      </c>
      <c r="J69" t="inlineStr">
        <is>
          <t>derbent-vino-graf-vorontsov-bryut-rozovoe-pervenets-magaracha-105-125</t>
        </is>
      </c>
      <c r="K69">
        <f>IF(C69="","",IFERROR(MATCH(C69,F69:J69,0),"нет"))</f>
        <v/>
      </c>
      <c r="L69">
        <f>IF(C69="","",IF(K69=1,1,0))</f>
        <v/>
      </c>
      <c r="M69">
        <f>IF(C69="","",IF(ISNUMBER(K69),1,0))</f>
        <v/>
      </c>
      <c r="N69" t="inlineStr">
        <is>
          <t>Российское шампанское коллекционное брют белое «Новый Свет. Юбилейное» — Новый Свет. Дом шампанских вин — Белое брют</t>
        </is>
      </c>
      <c r="O69" t="inlineStr">
        <is>
          <t>Граф Воронцов. Белое полусладкое — Дербент Вино — Белое полусладкое</t>
        </is>
      </c>
      <c r="P69" t="inlineStr">
        <is>
          <t>Российское шампанское коллекционное брют белое «Новый Свет. Золотой Рислинг» — Новый Свет. Дом шампанских вин — Белое сухое</t>
        </is>
      </c>
      <c r="Q69" t="inlineStr">
        <is>
          <t>Граф Воронцов. Брют белое — Дербент Вино — Белое брют</t>
        </is>
      </c>
      <c r="R69" t="inlineStr">
        <is>
          <t>Граф Воронцов. Брют розовое — Дербент Вино — Розовое брют</t>
        </is>
      </c>
    </row>
    <row r="70">
      <c r="A70" t="inlineStr">
        <is>
          <t>96.31_09-09-2026_19-29-01.webp</t>
        </is>
      </c>
      <c r="B70" t="inlineStr">
        <is>
          <t>уверенно</t>
        </is>
      </c>
      <c r="C70" t="inlineStr">
        <is>
          <t>aratti-kaberne-po-belomu</t>
        </is>
      </c>
      <c r="D70" t="inlineStr">
        <is>
          <t>АРАТТИ Каберне по-белому — АРАТТИ — Красное сухое</t>
        </is>
      </c>
      <c r="F70" t="inlineStr">
        <is>
          <t>aratti-kaberne-po-belomu-1</t>
        </is>
      </c>
      <c r="G70" t="inlineStr">
        <is>
          <t>aratti-kaberne-po-belomu</t>
        </is>
      </c>
      <c r="H70" t="inlineStr">
        <is>
          <t>aratti-vremena-goda-saperavi-leto</t>
        </is>
      </c>
      <c r="I70" t="inlineStr">
        <is>
          <t>aratti-kaberne-sovinon-2021-krasnoe-suhoe</t>
        </is>
      </c>
      <c r="J70" t="inlineStr">
        <is>
          <t>aratti-kaberne-sovinon-2020-krasnoe-suhoe</t>
        </is>
      </c>
      <c r="K70">
        <f>IF(C70="","",IFERROR(MATCH(C70,F70:J70,0),"нет"))</f>
        <v/>
      </c>
      <c r="L70">
        <f>IF(C70="","",IF(K70=1,1,0))</f>
        <v/>
      </c>
      <c r="M70">
        <f>IF(C70="","",IF(ISNUMBER(K70),1,0))</f>
        <v/>
      </c>
      <c r="N70" t="inlineStr">
        <is>
          <t>АРАТТИ Каберне по-белому — АРАТТИ — Розовое полусухое</t>
        </is>
      </c>
      <c r="O70" t="inlineStr">
        <is>
          <t>АРАТТИ Каберне по-белому — АРАТТИ — Красное сухое</t>
        </is>
      </c>
      <c r="P70" t="inlineStr">
        <is>
          <t>АРАТТИ Времена Года Саперави Лето — АРАТТИ — Красное сухое</t>
        </is>
      </c>
      <c r="Q70" t="inlineStr">
        <is>
          <t>АРАТТИ Каберне Совиньон 2021 красное сухое — АРАТТИ — Красное сухое</t>
        </is>
      </c>
      <c r="R70" t="inlineStr">
        <is>
          <t>АРАТТИ Каберне Совиньон 2020 красное сухое — АРАТТИ — Красное сухое</t>
        </is>
      </c>
    </row>
    <row r="71">
      <c r="A71" t="inlineStr">
        <is>
          <t>96.31_21-08-2026_17-24-55.webp</t>
        </is>
      </c>
      <c r="B71" t="inlineStr">
        <is>
          <t>уверенно</t>
        </is>
      </c>
      <c r="C71" t="inlineStr">
        <is>
          <t>bukovinka</t>
        </is>
      </c>
      <c r="D71" t="inlineStr">
        <is>
          <t>Буковинка — Табия — Белое полусухое</t>
        </is>
      </c>
      <c r="F71" t="inlineStr">
        <is>
          <t>bukovinka</t>
        </is>
      </c>
      <c r="G71" t="inlineStr">
        <is>
          <t>rubin-golodrigi</t>
        </is>
      </c>
      <c r="H71" t="inlineStr">
        <is>
          <t>kaberne-sovinon-2</t>
        </is>
      </c>
      <c r="I71" t="inlineStr">
        <is>
          <t>oleg</t>
        </is>
      </c>
      <c r="J71" t="inlineStr">
        <is>
          <t>rozovoe-zoloto</t>
        </is>
      </c>
      <c r="K71">
        <f>IF(C71="","",IFERROR(MATCH(C71,F71:J71,0),"нет"))</f>
        <v/>
      </c>
      <c r="L71">
        <f>IF(C71="","",IF(K71=1,1,0))</f>
        <v/>
      </c>
      <c r="M71">
        <f>IF(C71="","",IF(ISNUMBER(K71),1,0))</f>
        <v/>
      </c>
      <c r="N71" t="inlineStr">
        <is>
          <t>Буковинка — Табия — Белое полусухое</t>
        </is>
      </c>
      <c r="O71" t="inlineStr">
        <is>
          <t>Рубин Голодриги  — Табия — Красное сухое</t>
        </is>
      </c>
      <c r="P71" t="inlineStr">
        <is>
          <t>Каберне Совиньон — Табия — Красное сухое</t>
        </is>
      </c>
      <c r="Q71" t="inlineStr">
        <is>
          <t>Олег — Табия — Белое сухое</t>
        </is>
      </c>
      <c r="R71" t="inlineStr">
        <is>
          <t>Розовое золото — Табия — Розовое полусухое</t>
        </is>
      </c>
    </row>
    <row r="72">
      <c r="A72" t="inlineStr">
        <is>
          <t>96.3_08-09-2026_10-53-14.webp</t>
        </is>
      </c>
      <c r="B72" t="inlineStr">
        <is>
          <t>нет в каталоге</t>
        </is>
      </c>
      <c r="F72" t="inlineStr">
        <is>
          <t>rozovoe-polusladkoe</t>
        </is>
      </c>
      <c r="G72" t="inlineStr">
        <is>
          <t>fanagoriya-beloe-polusladkoe</t>
        </is>
      </c>
      <c r="H72" t="inlineStr">
        <is>
          <t>fanagoriya-zelyonoe-vino-risling-tsitronnyy-magaracha-merlo-rozovoe-polusuhoe-11</t>
        </is>
      </c>
      <c r="I72" t="inlineStr">
        <is>
          <t>fanagoriya-zelyonoe-vino-risling-tsitronnyy-magaracha-beloe-polusuhoe-11</t>
        </is>
      </c>
      <c r="J72" t="inlineStr">
        <is>
          <t>fanagoriya-ona-skazala-da-beloe-polusladkoe</t>
        </is>
      </c>
      <c r="K72">
        <f>IF(C72="","",IFERROR(MATCH(C72,F72:J72,0),"нет"))</f>
        <v/>
      </c>
      <c r="L72">
        <f>IF(C72="","",IF(K72=1,1,0))</f>
        <v/>
      </c>
      <c r="M72">
        <f>IF(C72="","",IF(ISNUMBER(K72),1,0))</f>
        <v/>
      </c>
      <c r="N72" t="inlineStr">
        <is>
          <t>Розовое полусладкое — Фанагория — Розовое полусладкое</t>
        </is>
      </c>
      <c r="O72" t="inlineStr">
        <is>
          <t>Фанагория белое полусладкое — Фанагория — Белое полусладкое</t>
        </is>
      </c>
      <c r="P72" t="inlineStr">
        <is>
          <t>Зелёное вино. Рислинг - Цитронный Магарача - Мерло — Фанагория — Розовое полусухое</t>
        </is>
      </c>
      <c r="Q72" t="inlineStr">
        <is>
          <t>Зелёное вино. Рислинг - Цитронный Магарача — Фанагория — Белое полусухое</t>
        </is>
      </c>
      <c r="R72" t="inlineStr">
        <is>
          <t>Фанагория Она сказала Да! белое полусладкое — Фанагория — Белое полусладкое</t>
        </is>
      </c>
    </row>
    <row r="73">
      <c r="A73" t="inlineStr">
        <is>
          <t>96.3_28-08-2026_09-12-56.webp</t>
        </is>
      </c>
      <c r="B73" t="inlineStr">
        <is>
          <t>нет в каталоге</t>
        </is>
      </c>
      <c r="F73" t="inlineStr">
        <is>
          <t>usadba-divnomorskoe-yuzhnyy-les-merlo-krasnoe-suhoe-137</t>
        </is>
      </c>
      <c r="G73" t="inlineStr">
        <is>
          <t>usadba-divnomorskoe-solist-marselan-rozovoe-suhoe-115</t>
        </is>
      </c>
      <c r="H73" t="inlineStr">
        <is>
          <t>usadba-divnomorskoe-solnechnyy-veter-shardone-beloe-suhoe-125</t>
        </is>
      </c>
      <c r="I73" t="inlineStr">
        <is>
          <t>usadba-divnomorskoe-holodnyy-tuman-risling-beloe-suhoe-115</t>
        </is>
      </c>
      <c r="J73" t="inlineStr">
        <is>
          <t>vinodelnya-vedernikov-vedernikov-krasnostop-zolotovskiy-magnum-krasnoe-suhoe-145</t>
        </is>
      </c>
      <c r="K73">
        <f>IF(C73="","",IFERROR(MATCH(C73,F73:J73,0),"нет"))</f>
        <v/>
      </c>
      <c r="L73">
        <f>IF(C73="","",IF(K73=1,1,0))</f>
        <v/>
      </c>
      <c r="M73">
        <f>IF(C73="","",IF(ISNUMBER(K73),1,0))</f>
        <v/>
      </c>
      <c r="N73" t="inlineStr">
        <is>
          <t>Южный Лес — Усадьба Дивноморское — Красное сухое</t>
        </is>
      </c>
      <c r="O73" t="inlineStr">
        <is>
          <t>Солист — Усадьба Дивноморское — Розовое сухое</t>
        </is>
      </c>
      <c r="P73" t="inlineStr">
        <is>
          <t>Солнечный Ветер — Усадьба Дивноморское — Белое сухое</t>
        </is>
      </c>
      <c r="Q73" t="inlineStr">
        <is>
          <t>Холодный Туман — Усадьба Дивноморское — Белое сухое</t>
        </is>
      </c>
      <c r="R73" t="inlineStr">
        <is>
          <t>Ведерниковъ Красностоп Золотовский (магнум) — Ведерниковъ — Красное сухое</t>
        </is>
      </c>
    </row>
    <row r="74">
      <c r="A74" t="inlineStr">
        <is>
          <t>96.42_22-08-2026_21-29-43.webp</t>
        </is>
      </c>
      <c r="B74" t="inlineStr">
        <is>
          <t>нет в каталоге</t>
        </is>
      </c>
      <c r="F74" t="inlineStr">
        <is>
          <t>abrau-dyurso-udelnoe-vedomstvo-imperatorskoe-beloe-bryut</t>
        </is>
      </c>
      <c r="G74" t="inlineStr">
        <is>
          <t>abrau-dyurso-imperatorskoe-bryut-shardone-beloe-12</t>
        </is>
      </c>
      <c r="H74" t="inlineStr">
        <is>
          <t>abrau-dyurso-imperial-brut-vintage-shardone-beloe-bryut-12</t>
        </is>
      </c>
      <c r="I74" t="inlineStr">
        <is>
          <t>aristov-anima-millesimato-beloe-bryut</t>
        </is>
      </c>
      <c r="J74" t="inlineStr">
        <is>
          <t>aristov-anima-pinot-grigio-blush</t>
        </is>
      </c>
      <c r="K74">
        <f>IF(C74="","",IFERROR(MATCH(C74,F74:J74,0),"нет"))</f>
        <v/>
      </c>
      <c r="L74">
        <f>IF(C74="","",IF(K74=1,1,0))</f>
        <v/>
      </c>
      <c r="M74">
        <f>IF(C74="","",IF(ISNUMBER(K74),1,0))</f>
        <v/>
      </c>
      <c r="N74" t="inlineStr">
        <is>
          <t>Абрау Дюрсо Удельное Ведомство Императорское белое брют — Абрау-Дюрсо — Белое брют</t>
        </is>
      </c>
      <c r="O74" t="inlineStr">
        <is>
          <t>Императорское брют — Абрау-Дюрсо — Белое брют</t>
        </is>
      </c>
      <c r="P74" t="inlineStr">
        <is>
          <t>Империал. Brut Vintage — Абрау-Дюрсо — Белое брют</t>
        </is>
      </c>
      <c r="Q74" t="inlineStr">
        <is>
          <t>Аристов ANIMA Millesimato белое брют — Кубань-Вино — Белое брют</t>
        </is>
      </c>
      <c r="R74" t="inlineStr">
        <is>
          <t>Аристов Anima Pinot Grigio Blush — Кубань-Вино — Розовое брют</t>
        </is>
      </c>
    </row>
    <row r="75">
      <c r="A75" t="inlineStr">
        <is>
          <t>96.44_05-09-2026_15-33-59.webp</t>
        </is>
      </c>
      <c r="B75" t="inlineStr">
        <is>
          <t>уверенно</t>
        </is>
      </c>
      <c r="C75" t="inlineStr">
        <is>
          <t>sovinon-blan</t>
        </is>
      </c>
      <c r="D75" t="inlineStr">
        <is>
          <t>Совиньон Блан — Литавщук. Litavshchuk vineyards &amp; winery — Белое полусладкое</t>
        </is>
      </c>
      <c r="F75" t="inlineStr">
        <is>
          <t>sovinon-blan</t>
        </is>
      </c>
      <c r="G75" t="inlineStr">
        <is>
          <t>risling-2</t>
        </is>
      </c>
      <c r="H75" t="inlineStr">
        <is>
          <t>blagolyubov-sovinon-blan-beloe-suhoe-125</t>
        </is>
      </c>
      <c r="I75" t="inlineStr">
        <is>
          <t>dubinin-winery-sovinon-blan-beloe-suhoe-12</t>
        </is>
      </c>
      <c r="J75" t="inlineStr">
        <is>
          <t>domashnyaya-gorka</t>
        </is>
      </c>
      <c r="K75">
        <f>IF(C75="","",IFERROR(MATCH(C75,F75:J75,0),"нет"))</f>
        <v/>
      </c>
      <c r="L75">
        <f>IF(C75="","",IF(K75=1,1,0))</f>
        <v/>
      </c>
      <c r="M75">
        <f>IF(C75="","",IF(ISNUMBER(K75),1,0))</f>
        <v/>
      </c>
      <c r="N75" t="inlineStr">
        <is>
          <t>Совиньон Блан — Литавщук. Litavshchuk vineyards &amp; winery — Белое полусладкое</t>
        </is>
      </c>
      <c r="O75" t="inlineStr">
        <is>
          <t>Рислинг  — Литавщук. Litavshchuk vineyards &amp; winery — Белое полусухое</t>
        </is>
      </c>
      <c r="P75" t="inlineStr">
        <is>
          <t>Совиньон Блан — Благолюбов — Белое сухое</t>
        </is>
      </c>
      <c r="Q75" t="inlineStr">
        <is>
          <t>Совиньон Блан — Dubinin Winery — Белое сухое</t>
        </is>
      </c>
      <c r="R75" t="inlineStr">
        <is>
          <t>Домашняя горка  — Литавщук. Litavshchuk vineyards &amp; winery — Белое полусладкое</t>
        </is>
      </c>
    </row>
    <row r="76">
      <c r="A76" t="inlineStr">
        <is>
          <t>96.45_02-09-2026_14-19-06.webp</t>
        </is>
      </c>
      <c r="B76" t="inlineStr">
        <is>
          <t>нет в каталоге</t>
        </is>
      </c>
      <c r="F76" t="inlineStr">
        <is>
          <t>abrau-dyurso-russkoe-igristoe-polusuhoe-shardone-beloe-12</t>
        </is>
      </c>
      <c r="G76" t="inlineStr">
        <is>
          <t>abrau-dyurso-imperial-brut-rose-pino-nuar-rozovoe-bryut-12</t>
        </is>
      </c>
      <c r="H76" t="inlineStr">
        <is>
          <t>abrau-dyurso-russkoe-igristoe-polusladkoe-krasnoe-kaberne-sovinon-12</t>
        </is>
      </c>
      <c r="I76" t="inlineStr">
        <is>
          <t>abrau-dyurso-russkoe-igristoe-koshernoe-polusladkoe-shardone-beloe-12</t>
        </is>
      </c>
      <c r="J76" t="inlineStr">
        <is>
          <t>abrau-dyurso-russkoe-igristoe-polusladkoe-shardone-beloe-12</t>
        </is>
      </c>
      <c r="K76">
        <f>IF(C76="","",IFERROR(MATCH(C76,F76:J76,0),"нет"))</f>
        <v/>
      </c>
      <c r="L76">
        <f>IF(C76="","",IF(K76=1,1,0))</f>
        <v/>
      </c>
      <c r="M76">
        <f>IF(C76="","",IF(ISNUMBER(K76),1,0))</f>
        <v/>
      </c>
      <c r="N76" t="inlineStr">
        <is>
          <t>Русское Игристое полусухое — Абрау-Дюрсо — Белое полусухое</t>
        </is>
      </c>
      <c r="O76" t="inlineStr">
        <is>
          <t>Империал Brut Rose — Абрау-Дюрсо — Розовое брют</t>
        </is>
      </c>
      <c r="P76" t="inlineStr">
        <is>
          <t>Русское Игристое полусладкое красное — Абрау-Дюрсо — Красное полусладкое</t>
        </is>
      </c>
      <c r="Q76" t="inlineStr">
        <is>
          <t>Русское Игристое кошерное полусладкое — Абрау-Дюрсо — Белое полусладкое</t>
        </is>
      </c>
      <c r="R76" t="inlineStr">
        <is>
          <t>Русское Игристое полусладкое — Абрау-Дюрсо — Белое полусладкое</t>
        </is>
      </c>
    </row>
    <row r="77">
      <c r="A77" t="inlineStr">
        <is>
          <t>96.45_19-08-2026_19-35-28.webp</t>
        </is>
      </c>
      <c r="B77" t="inlineStr">
        <is>
          <t>не уверен</t>
        </is>
      </c>
      <c r="C77" t="inlineStr">
        <is>
          <t>czitronnyj-magaracha</t>
        </is>
      </c>
      <c r="D77" t="inlineStr">
        <is>
          <t>Цитрон — Табия — Белое сухое</t>
        </is>
      </c>
      <c r="E77" t="inlineStr">
        <is>
          <t>в slug сухое, а нужно полусухое, но полусухого нет</t>
        </is>
      </c>
      <c r="F77" t="inlineStr">
        <is>
          <t>czitronnyj-magaracha</t>
        </is>
      </c>
      <c r="G77" t="inlineStr">
        <is>
          <t>oleg</t>
        </is>
      </c>
      <c r="H77" t="inlineStr">
        <is>
          <t>risling-1</t>
        </is>
      </c>
      <c r="I77" t="inlineStr">
        <is>
          <t>rubin-golodrigi</t>
        </is>
      </c>
      <c r="J77" t="inlineStr">
        <is>
          <t>bukovinka</t>
        </is>
      </c>
      <c r="K77">
        <f>IF(C77="","",IFERROR(MATCH(C77,F77:J77,0),"нет"))</f>
        <v/>
      </c>
      <c r="L77">
        <f>IF(C77="","",IF(K77=1,1,0))</f>
        <v/>
      </c>
      <c r="M77">
        <f>IF(C77="","",IF(ISNUMBER(K77),1,0))</f>
        <v/>
      </c>
      <c r="N77" t="inlineStr">
        <is>
          <t>Цитрон — Табия — Белое сухое</t>
        </is>
      </c>
      <c r="O77" t="inlineStr">
        <is>
          <t>Олег — Табия — Белое сухое</t>
        </is>
      </c>
      <c r="P77" t="inlineStr">
        <is>
          <t>Рислинг — Табия — Белое полусухое</t>
        </is>
      </c>
      <c r="Q77" t="inlineStr">
        <is>
          <t>Рубин Голодриги  — Табия — Красное сухое</t>
        </is>
      </c>
      <c r="R77" t="inlineStr">
        <is>
          <t>Буковинка — Табия — Белое полусухое</t>
        </is>
      </c>
    </row>
    <row r="78">
      <c r="A78" t="inlineStr">
        <is>
          <t>96.53_03-09-2026_16-39-17.webp</t>
        </is>
      </c>
      <c r="B78" t="inlineStr">
        <is>
          <t>нет в каталоге</t>
        </is>
      </c>
      <c r="F78" t="inlineStr">
        <is>
          <t>rozovoe-polusladkoe</t>
        </is>
      </c>
      <c r="G78" t="inlineStr">
        <is>
          <t>fanagoriya-beloe-polusladkoe</t>
        </is>
      </c>
      <c r="H78" t="inlineStr">
        <is>
          <t>fanagoriya-fanagoriya-blanc-de-blancs-beloe-iz-belogo-shardone-igristoe-bryut-beloe-11-13</t>
        </is>
      </c>
      <c r="I78" t="inlineStr">
        <is>
          <t>fanagoriya-zelyonoe-vino-risling-tsitronnyy-magaracha-merlo-rozovoe-polusuhoe-11</t>
        </is>
      </c>
      <c r="J78" t="inlineStr">
        <is>
          <t>fanagoriya-fanagoria-extra-brut-rose-2019-pino-nuar-igristoe-bryut-rozovoe-ekstra-bryut-12</t>
        </is>
      </c>
      <c r="K78">
        <f>IF(C78="","",IFERROR(MATCH(C78,F78:J78,0),"нет"))</f>
        <v/>
      </c>
      <c r="L78">
        <f>IF(C78="","",IF(K78=1,1,0))</f>
        <v/>
      </c>
      <c r="M78">
        <f>IF(C78="","",IF(ISNUMBER(K78),1,0))</f>
        <v/>
      </c>
      <c r="N78" t="inlineStr">
        <is>
          <t>Розовое полусладкое — Фанагория — Розовое полусладкое</t>
        </is>
      </c>
      <c r="O78" t="inlineStr">
        <is>
          <t>Фанагория белое полусладкое — Фанагория — Белое полусладкое</t>
        </is>
      </c>
      <c r="P78" t="inlineStr">
        <is>
          <t>Фанагория. Blanc de Blancs. Белое из белого — Фанагория — Белое брют</t>
        </is>
      </c>
      <c r="Q78" t="inlineStr">
        <is>
          <t>Зелёное вино. Рислинг - Цитронный Магарача - Мерло — Фанагория — Розовое полусухое</t>
        </is>
      </c>
      <c r="R78" t="inlineStr">
        <is>
          <t>Fanagoria Extra Brut Rose 2019 — Фанагория — Розовое экстра брют</t>
        </is>
      </c>
    </row>
    <row r="79">
      <c r="A79" t="inlineStr">
        <is>
          <t>96.54_04-09-2026_19-30-52.webp</t>
        </is>
      </c>
      <c r="B79" t="inlineStr">
        <is>
          <t>уверенно</t>
        </is>
      </c>
      <c r="C79" t="inlineStr">
        <is>
          <t>denisov-winery-risling-beloe-suhoe-115</t>
        </is>
      </c>
      <c r="D79" t="inlineStr">
        <is>
          <t>Рислинг — Denisov Winery — Белое сухое</t>
        </is>
      </c>
      <c r="F79" t="inlineStr">
        <is>
          <t>denisov-winery-risling-beloe-suhoe-115</t>
        </is>
      </c>
      <c r="G79" t="inlineStr">
        <is>
          <t>dubinin-winery-risling-beloe-suhoe-12</t>
        </is>
      </c>
      <c r="H79" t="inlineStr">
        <is>
          <t>znoj-denisov-vajneri</t>
        </is>
      </c>
      <c r="I79" t="inlineStr">
        <is>
          <t>vinodelnya-78-aligote-otbornoe-beloe-suhoe-12</t>
        </is>
      </c>
      <c r="J79" t="inlineStr">
        <is>
          <t>risling-2</t>
        </is>
      </c>
      <c r="K79">
        <f>IF(C79="","",IFERROR(MATCH(C79,F79:J79,0),"нет"))</f>
        <v/>
      </c>
      <c r="L79">
        <f>IF(C79="","",IF(K79=1,1,0))</f>
        <v/>
      </c>
      <c r="M79">
        <f>IF(C79="","",IF(ISNUMBER(K79),1,0))</f>
        <v/>
      </c>
      <c r="N79" t="inlineStr">
        <is>
          <t>Рислинг — Denisov Winery — Белое сухое</t>
        </is>
      </c>
      <c r="O79" t="inlineStr">
        <is>
          <t>Рислинг — Dubinin Winery — Белое сухое</t>
        </is>
      </c>
      <c r="P79" t="inlineStr">
        <is>
          <t>Зной. Денисов Вайнери — Denisov Winery — Белое сухое</t>
        </is>
      </c>
      <c r="Q79" t="inlineStr">
        <is>
          <t>Алиготе Отборное — Винодельня 78 — Белое сухое</t>
        </is>
      </c>
      <c r="R79" t="inlineStr">
        <is>
          <t>Рислинг  — Литавщук. Litavshchuk vineyards &amp; winery — Белое полусухое</t>
        </is>
      </c>
    </row>
    <row r="80">
      <c r="A80" t="inlineStr">
        <is>
          <t>96.55_30-08-2026_19-34-31.webp</t>
        </is>
      </c>
      <c r="B80" t="inlineStr">
        <is>
          <t>уверенно</t>
        </is>
      </c>
      <c r="C80" t="inlineStr">
        <is>
          <t>novyy-svet-dom-shampanskih-vin-novyy-svet-polusladkoe-roze-shardone-rozovoe-115</t>
        </is>
      </c>
      <c r="D80" t="inlineStr">
        <is>
          <t>Новый Свет полусладкое розе — Новый Свет. Дом шампанских вин — Розовое полусладкое</t>
        </is>
      </c>
      <c r="F80" t="inlineStr">
        <is>
          <t>novyy-svet-dom-shampanskih-vin-novyy-svet-polusladkoe-roze-shardone-rozovoe-115</t>
        </is>
      </c>
      <c r="G80" t="inlineStr">
        <is>
          <t>novyy-svet-dom-shampanskih-vin-rossiyskoe-shampanskoe-vyderzhannoe-polusladkoe-rozovoe-novyy-svet-shardone-125</t>
        </is>
      </c>
      <c r="H80" t="inlineStr">
        <is>
          <t>novyj-svet-polusladkoe</t>
        </is>
      </c>
      <c r="I80" t="inlineStr">
        <is>
          <t>novyj-svet-vyderzhannoe-bryut</t>
        </is>
      </c>
      <c r="J80" t="inlineStr">
        <is>
          <t>novyy-svet-dom-shampanskih-vin-igristoe-vino-vyderzhannoe-polusladkoe-krasnoe-novyy-svet-kaberne-sovinon-12</t>
        </is>
      </c>
      <c r="K80">
        <f>IF(C80="","",IFERROR(MATCH(C80,F80:J80,0),"нет"))</f>
        <v/>
      </c>
      <c r="L80">
        <f>IF(C80="","",IF(K80=1,1,0))</f>
        <v/>
      </c>
      <c r="M80">
        <f>IF(C80="","",IF(ISNUMBER(K80),1,0))</f>
        <v/>
      </c>
      <c r="N80" t="inlineStr">
        <is>
          <t>Новый Свет полусладкое розе — Новый Свет. Дом шампанских вин — Розовое полусладкое</t>
        </is>
      </c>
      <c r="O80" t="inlineStr">
        <is>
          <t>Российское шампанское выдержанное полусладкое розовое «Новый Свет» — Новый Свет. Дом шампанских вин — Розовое полусладкое</t>
        </is>
      </c>
      <c r="P80" t="inlineStr">
        <is>
          <t>Новый Свет полусладкое — Новый Свет. Дом шампанских вин — Белое полусладкое</t>
        </is>
      </c>
      <c r="Q80" t="inlineStr">
        <is>
          <t>Новый Свет выдержанное брют — Новый Свет. Дом шампанских вин — Белое брют</t>
        </is>
      </c>
      <c r="R80" t="inlineStr">
        <is>
          <t>Игристое вино выдержанное полусладкое красное «Новый Свет. Каберне Совиньон» — Новый Свет. Дом шампанских вин — Красное полусладкое</t>
        </is>
      </c>
    </row>
    <row r="81">
      <c r="A81" t="inlineStr">
        <is>
          <t>96.58_05-09-2026_16-05-04.webp</t>
        </is>
      </c>
      <c r="B81" t="inlineStr">
        <is>
          <t>уверенно</t>
        </is>
      </c>
      <c r="C81" t="inlineStr">
        <is>
          <t>fanagoriya-zelyonoe-vino-risling-tsitronnyy-magaracha-beloe-polusuhoe-11</t>
        </is>
      </c>
      <c r="D81" t="inlineStr">
        <is>
          <t>Зелёное вино. Рислинг - Цитронный Магарача — Фанагория — Белое полусухое</t>
        </is>
      </c>
      <c r="F81" t="inlineStr">
        <is>
          <t>fanagoriya-zelyonoe-vino-risling-tsitronnyy-magaracha-beloe-polusuhoe-11</t>
        </is>
      </c>
      <c r="G81" t="inlineStr">
        <is>
          <t>fanagoriya-zelyonoe-vino-risling-tsitronnyy-magaracha-merlo-rozovoe-polusuhoe-11</t>
        </is>
      </c>
      <c r="H81" t="inlineStr">
        <is>
          <t>vinodelnya-vedernikov-vedernikov-dolina-dona-beloe-suhoe-aligote-12</t>
        </is>
      </c>
      <c r="I81" t="inlineStr">
        <is>
          <t>eleonora</t>
        </is>
      </c>
      <c r="J81" t="inlineStr">
        <is>
          <t>levokumskoe-beloe-rkatsiteli-suhoe-10</t>
        </is>
      </c>
      <c r="K81">
        <f>IF(C81="","",IFERROR(MATCH(C81,F81:J81,0),"нет"))</f>
        <v/>
      </c>
      <c r="L81">
        <f>IF(C81="","",IF(K81=1,1,0))</f>
        <v/>
      </c>
      <c r="M81">
        <f>IF(C81="","",IF(ISNUMBER(K81),1,0))</f>
        <v/>
      </c>
      <c r="N81" t="inlineStr">
        <is>
          <t>Зелёное вино. Рислинг - Цитронный Магарача — Фанагория — Белое полусухое</t>
        </is>
      </c>
      <c r="O81" t="inlineStr">
        <is>
          <t>Зелёное вино. Рислинг - Цитронный Магарача - Мерло — Фанагория — Розовое полусухое</t>
        </is>
      </c>
      <c r="P81" t="inlineStr">
        <is>
          <t>Ведерниковъ Долина Дона Белое Сухое — Ведерниковъ — Белое сухое</t>
        </is>
      </c>
      <c r="Q81" t="inlineStr">
        <is>
          <t>Eleonora, 2021 — WINEMAFIA — Белое сухое</t>
        </is>
      </c>
      <c r="R81" t="inlineStr">
        <is>
          <t>Белое — Левокумское — Белое сухое</t>
        </is>
      </c>
    </row>
    <row r="82">
      <c r="A82" t="inlineStr">
        <is>
          <t>96.61_28-08-2026_09-16-27.webp</t>
        </is>
      </c>
      <c r="B82" t="inlineStr">
        <is>
          <t>нет в каталоге</t>
        </is>
      </c>
      <c r="F82" t="inlineStr">
        <is>
          <t>balaklava-muskat-beloe-polusladkoe</t>
        </is>
      </c>
      <c r="G82" t="inlineStr">
        <is>
          <t>balaklava-bryut-rezerv</t>
        </is>
      </c>
      <c r="H82" t="inlineStr">
        <is>
          <t>balaklava-muskat</t>
        </is>
      </c>
      <c r="I82" t="inlineStr">
        <is>
          <t>balaklava-pino-nuar</t>
        </is>
      </c>
      <c r="J82" t="inlineStr">
        <is>
          <t>shardone-balaklava</t>
        </is>
      </c>
      <c r="K82">
        <f>IF(C82="","",IFERROR(MATCH(C82,F82:J82,0),"нет"))</f>
        <v/>
      </c>
      <c r="L82">
        <f>IF(C82="","",IF(K82=1,1,0))</f>
        <v/>
      </c>
      <c r="M82">
        <f>IF(C82="","",IF(ISNUMBER(K82),1,0))</f>
        <v/>
      </c>
      <c r="N82" t="inlineStr">
        <is>
          <t>Балаклава Мускат белое полусладкое — Золотая Балка — Белое полусладкое</t>
        </is>
      </c>
      <c r="O82" t="inlineStr">
        <is>
          <t>Балаклава Брют Резерв — Золотая Балка — Белое брют</t>
        </is>
      </c>
      <c r="P82" t="inlineStr">
        <is>
          <t>Балаклава Мускат — Золотая Балка — Белое брют</t>
        </is>
      </c>
      <c r="Q82" t="inlineStr">
        <is>
          <t>Балаклава Пино Нуар — Золотая Балка — Розовое брют</t>
        </is>
      </c>
      <c r="R82" t="inlineStr">
        <is>
          <t>Шардоне Балаклава  — Золотая Балка — Белое брют</t>
        </is>
      </c>
    </row>
    <row r="83">
      <c r="A83" t="inlineStr">
        <is>
          <t>96.62_07-09-2026_18-12-27.webp</t>
        </is>
      </c>
      <c r="B83" t="inlineStr">
        <is>
          <t>уверенно</t>
        </is>
      </c>
      <c r="C83" t="inlineStr">
        <is>
          <t>fanagoriya-zelyonoe-vino-risling-tsitronnyy-magaracha-beloe-polusuhoe-11</t>
        </is>
      </c>
      <c r="D83" t="inlineStr">
        <is>
          <t>Зелёное вино. Рислинг - Цитронный Магарача — Фанагория — Белое полусухое</t>
        </is>
      </c>
      <c r="F83" t="inlineStr">
        <is>
          <t>fanagoriya-zelyonoe-vino-risling-tsitronnyy-magaracha-beloe-polusuhoe-11</t>
        </is>
      </c>
      <c r="G83" t="inlineStr">
        <is>
          <t>fanagoriya-zelyonoe-vino-risling-tsitronnyy-magaracha-merlo-rozovoe-polusuhoe-11</t>
        </is>
      </c>
      <c r="H83" t="inlineStr">
        <is>
          <t>fanagoriya-100-ottenkov-shardone-beloe-suhoe-14</t>
        </is>
      </c>
      <c r="I83" t="inlineStr">
        <is>
          <t>vinodelnya-vedernikov-vedernikov-dolina-dona-beloe-suhoe-aligote-12</t>
        </is>
      </c>
      <c r="J83" t="inlineStr">
        <is>
          <t>levokumskoe-beloe-rkatsiteli-suhoe-10</t>
        </is>
      </c>
      <c r="K83">
        <f>IF(C83="","",IFERROR(MATCH(C83,F83:J83,0),"нет"))</f>
        <v/>
      </c>
      <c r="L83">
        <f>IF(C83="","",IF(K83=1,1,0))</f>
        <v/>
      </c>
      <c r="M83">
        <f>IF(C83="","",IF(ISNUMBER(K83),1,0))</f>
        <v/>
      </c>
      <c r="N83" t="inlineStr">
        <is>
          <t>Зелёное вино. Рислинг - Цитронный Магарача — Фанагория — Белое полусухое</t>
        </is>
      </c>
      <c r="O83" t="inlineStr">
        <is>
          <t>Зелёное вино. Рислинг - Цитронный Магарача - Мерло — Фанагория — Розовое полусухое</t>
        </is>
      </c>
      <c r="P83" t="inlineStr">
        <is>
          <t>100 оттенков. Шардоне — Фанагория — Белое сухое</t>
        </is>
      </c>
      <c r="Q83" t="inlineStr">
        <is>
          <t>Ведерниковъ Долина Дона Белое Сухое — Ведерниковъ — Белое сухое</t>
        </is>
      </c>
      <c r="R83" t="inlineStr">
        <is>
          <t>Белое — Левокумское — Белое сухое</t>
        </is>
      </c>
    </row>
    <row r="84">
      <c r="A84" t="inlineStr">
        <is>
          <t>96.64_26-08-2026_16-52-37.webp</t>
        </is>
      </c>
      <c r="B84" t="inlineStr">
        <is>
          <t>нет в каталоге</t>
        </is>
      </c>
      <c r="F84" t="inlineStr">
        <is>
          <t>valeriy-zaharin-avtorskoe-vino-ot-valeriya-zaharina-bastardo-bastardo-magarachskiy-krasnoe-suhoe-12</t>
        </is>
      </c>
      <c r="G84" t="inlineStr">
        <is>
          <t>valeriy-zaharin-avtorskoe-vino-ot-valeriya-zaharina-krasnoe-pino-nuar-suhoe-125</t>
        </is>
      </c>
      <c r="H84" t="inlineStr">
        <is>
          <t>valeriy-zaharin-bastardo-kefesiya-avtohtonnoe-vino-kryma-bastardo-magarachskiy-krasnoe-suhoe-115</t>
        </is>
      </c>
      <c r="I84" t="inlineStr">
        <is>
          <t>valeriy-zaharin-avtorskoe-vino-ot-valeriya-zaharina-aleatiko-rozovoe-suhoe-115</t>
        </is>
      </c>
      <c r="J84" t="inlineStr">
        <is>
          <t>valeriy-zaharin-avtohtonnoe-vino-kryma-avtorskiy-kupazh-bastardo-saperavi-kefesiya-bastardo-magarachskiy-krasnoe-suhoe-12</t>
        </is>
      </c>
      <c r="K84">
        <f>IF(C84="","",IFERROR(MATCH(C84,F84:J84,0),"нет"))</f>
        <v/>
      </c>
      <c r="L84">
        <f>IF(C84="","",IF(K84=1,1,0))</f>
        <v/>
      </c>
      <c r="M84">
        <f>IF(C84="","",IF(ISNUMBER(K84),1,0))</f>
        <v/>
      </c>
      <c r="N84" t="inlineStr">
        <is>
          <t>Авторское вино от Валерия Захарьина. Бастардо — Валерий Захарьин — Красное сухое</t>
        </is>
      </c>
      <c r="O84" t="inlineStr">
        <is>
          <t>Авторское вино от Валерия Захарьина. Красное — Валерий Захарьин — Красное сухое</t>
        </is>
      </c>
      <c r="P84" t="inlineStr">
        <is>
          <t>Бастардо - Кефесия. Автохтонное вино Крыма — Валерий Захарьин — Красное сухое</t>
        </is>
      </c>
      <c r="Q84" t="inlineStr">
        <is>
          <t>Авторское вино от Валерия Захарьина. Алеатико — Валерий Захарьин — Розовое сухое</t>
        </is>
      </c>
      <c r="R84" t="inlineStr">
        <is>
          <t>Автохтонное вино Крыма. Авторский Купаж. Бастардо – Саперави – Кефесия — Валерий Захарьин — Красное сухое</t>
        </is>
      </c>
    </row>
    <row r="85">
      <c r="A85" t="inlineStr">
        <is>
          <t>96.65_02-09-2026_12-08-51.webp</t>
        </is>
      </c>
      <c r="B85" t="inlineStr">
        <is>
          <t>уверенно</t>
        </is>
      </c>
      <c r="C85" t="inlineStr">
        <is>
          <t>kaberne-sovinon-3</t>
        </is>
      </c>
      <c r="D85" t="inlineStr">
        <is>
          <t>Каберне Совиньон — Литавщук. Litavshchuk vineyards &amp; winery — Красное полусухое</t>
        </is>
      </c>
      <c r="F85" t="inlineStr">
        <is>
          <t>kaberne-sovinon-3</t>
        </is>
      </c>
      <c r="G85" t="inlineStr">
        <is>
          <t>vinodelnya-begildeeva-kaberne-sovinon-krasnoe-suhoe-14</t>
        </is>
      </c>
      <c r="H85" t="inlineStr">
        <is>
          <t>vinodelnya-begildeeva-kaberne-sovinon-merlo-krasnoe-suhoe-14</t>
        </is>
      </c>
      <c r="I85" t="inlineStr">
        <is>
          <t>kaberne-sovinon-1</t>
        </is>
      </c>
      <c r="J85" t="inlineStr">
        <is>
          <t>kaberne-sovinon-4</t>
        </is>
      </c>
      <c r="K85">
        <f>IF(C85="","",IFERROR(MATCH(C85,F85:J85,0),"нет"))</f>
        <v/>
      </c>
      <c r="L85">
        <f>IF(C85="","",IF(K85=1,1,0))</f>
        <v/>
      </c>
      <c r="M85">
        <f>IF(C85="","",IF(ISNUMBER(K85),1,0))</f>
        <v/>
      </c>
      <c r="N85" t="inlineStr">
        <is>
          <t>Каберне Совиньон — Литавщук. Litavshchuk vineyards &amp; winery — Красное полусухое</t>
        </is>
      </c>
      <c r="O85" t="inlineStr">
        <is>
          <t>Каберне Совиньон — Винодельня Бегильдеева — Красное сухое</t>
        </is>
      </c>
      <c r="P85" t="inlineStr">
        <is>
          <t>Каберне Совиньон – Мерло — Винодельня Бегильдеева — Красное сухое</t>
        </is>
      </c>
      <c r="Q85" t="inlineStr">
        <is>
          <t>Каберне Совиньон — Галицкий и Галицкий — Красное сухое</t>
        </is>
      </c>
      <c r="R85" t="inlineStr">
        <is>
          <t>Каберне Совиньон — Усадьба Перовских — Красное сухое</t>
        </is>
      </c>
    </row>
    <row r="86">
      <c r="A86" t="inlineStr">
        <is>
          <t>96.66_22-08-2026_20-44-40.webp</t>
        </is>
      </c>
      <c r="B86" t="inlineStr">
        <is>
          <t>уверенно</t>
        </is>
      </c>
      <c r="C86" t="inlineStr">
        <is>
          <t>perovskih_polusuhoe_krasnoe</t>
        </is>
      </c>
      <c r="D86" t="inlineStr">
        <is>
          <t>Полусухое Красное — Усадьба Перовских — Красное полусухое</t>
        </is>
      </c>
      <c r="F86" t="inlineStr">
        <is>
          <t>perovskih_polusuhoe_krasnoe</t>
        </is>
      </c>
      <c r="G86" t="inlineStr">
        <is>
          <t>perovskih_polusladkoe_krasnoe</t>
        </is>
      </c>
      <c r="H86" t="inlineStr">
        <is>
          <t>perovskih_polusladkoe_beloe</t>
        </is>
      </c>
      <c r="I86" t="inlineStr">
        <is>
          <t>rozovoe-polusuhoe</t>
        </is>
      </c>
      <c r="J86" t="inlineStr">
        <is>
          <t>perovskih_polusladkoe_rosovoe</t>
        </is>
      </c>
      <c r="K86">
        <f>IF(C86="","",IFERROR(MATCH(C86,F86:J86,0),"нет"))</f>
        <v/>
      </c>
      <c r="L86">
        <f>IF(C86="","",IF(K86=1,1,0))</f>
        <v/>
      </c>
      <c r="M86">
        <f>IF(C86="","",IF(ISNUMBER(K86),1,0))</f>
        <v/>
      </c>
      <c r="N86" t="inlineStr">
        <is>
          <t>Полусухое Красное — Усадьба Перовских — Красное полусухое</t>
        </is>
      </c>
      <c r="O86" t="inlineStr">
        <is>
          <t>Полусладкое Красное — Усадьба Перовских — Красное полусладкое</t>
        </is>
      </c>
      <c r="P86" t="inlineStr">
        <is>
          <t>Полусладкое Белое  — Усадьба Перовских — Белое полусладкое</t>
        </is>
      </c>
      <c r="Q86" t="inlineStr">
        <is>
          <t>Розовое полусухое — Усадьба Перовских — Розовое полусухое</t>
        </is>
      </c>
      <c r="R86" t="inlineStr">
        <is>
          <t>Полусладкое розовое — Усадьба Перовских — Розовое полусладкое</t>
        </is>
      </c>
    </row>
    <row r="87">
      <c r="A87" t="inlineStr">
        <is>
          <t>96.67_27-08-2026_17-47-05.webp</t>
        </is>
      </c>
      <c r="B87" t="inlineStr">
        <is>
          <t>нет в каталоге</t>
        </is>
      </c>
      <c r="F87" t="inlineStr">
        <is>
          <t>vinodelnya-begildeeva-merlo-krasnoe-suhoe-14</t>
        </is>
      </c>
      <c r="G87" t="inlineStr">
        <is>
          <t>vinodelnya-begildeeva-kaberne-sovinon-merlo-krasnoe-suhoe-14</t>
        </is>
      </c>
      <c r="H87" t="inlineStr">
        <is>
          <t>soyuz-vino-soyuz-vino-izabella-krasnoe-polusladkoe-11</t>
        </is>
      </c>
      <c r="I87" t="inlineStr">
        <is>
          <t>belbek-beloe-suhoe-kaberne-sovinon-krasnoe-14</t>
        </is>
      </c>
      <c r="J87" t="inlineStr">
        <is>
          <t>vinodelnya-begildeeva-kaberne-sovinon-krasnoe-suhoe-14</t>
        </is>
      </c>
      <c r="K87">
        <f>IF(C87="","",IFERROR(MATCH(C87,F87:J87,0),"нет"))</f>
        <v/>
      </c>
      <c r="L87">
        <f>IF(C87="","",IF(K87=1,1,0))</f>
        <v/>
      </c>
      <c r="M87">
        <f>IF(C87="","",IF(ISNUMBER(K87),1,0))</f>
        <v/>
      </c>
      <c r="N87" t="inlineStr">
        <is>
          <t>Мерло — Винодельня Бегильдеева — Красное сухое</t>
        </is>
      </c>
      <c r="O87" t="inlineStr">
        <is>
          <t>Каберне Совиньон – Мерло — Винодельня Бегильдеева — Красное сухое</t>
        </is>
      </c>
      <c r="P87" t="inlineStr">
        <is>
          <t>Союз-Вино Изабелла — Союз-Вино — Красное полусладкое</t>
        </is>
      </c>
      <c r="Q87" t="inlineStr">
        <is>
          <t>Белое сухое — Бельбек — Красное сухое</t>
        </is>
      </c>
      <c r="R87" t="inlineStr">
        <is>
          <t>Каберне Совиньон — Винодельня Бегильдеева — Красное сухое</t>
        </is>
      </c>
    </row>
    <row r="88">
      <c r="A88" t="inlineStr">
        <is>
          <t>96.74_28-08-2026_13-52-26.webp</t>
        </is>
      </c>
      <c r="B88" t="inlineStr">
        <is>
          <t>уверенно</t>
        </is>
      </c>
      <c r="C88" t="inlineStr">
        <is>
          <t>usadba-mezyb-shishka-kupazh-5-kaberne-sovinon-rozovoe-suhoe-133</t>
        </is>
      </c>
      <c r="D88" t="inlineStr">
        <is>
          <t>Шишка. Купаж №5 — Усадьба Мезыбь — Розовое сухое</t>
        </is>
      </c>
      <c r="F88" t="inlineStr">
        <is>
          <t>usadba-mezyb-shishka-kupazh-5-kaberne-sovinon-rozovoe-suhoe-133</t>
        </is>
      </c>
      <c r="G88" t="inlineStr">
        <is>
          <t>usadba-mezyb-shishka-pino-nuar-rozovoe-suhoe-115</t>
        </is>
      </c>
      <c r="H88" t="inlineStr">
        <is>
          <t>usadba-mezyb-shishka-oranzh-shardone-beloe-suhoe-127</t>
        </is>
      </c>
      <c r="I88" t="inlineStr">
        <is>
          <t>usadba-mezyb-shishka-shenen-blan-sovinon-blan-beloe-suhoe-126</t>
        </is>
      </c>
      <c r="J88" t="inlineStr">
        <is>
          <t>usadba-mezyb-shishka-shenen-blan-beloe-suhoe-13</t>
        </is>
      </c>
      <c r="K88">
        <f>IF(C88="","",IFERROR(MATCH(C88,F88:J88,0),"нет"))</f>
        <v/>
      </c>
      <c r="L88">
        <f>IF(C88="","",IF(K88=1,1,0))</f>
        <v/>
      </c>
      <c r="M88">
        <f>IF(C88="","",IF(ISNUMBER(K88),1,0))</f>
        <v/>
      </c>
      <c r="N88" t="inlineStr">
        <is>
          <t>Шишка. Купаж №5 — Усадьба Мезыбь — Розовое сухое</t>
        </is>
      </c>
      <c r="O88" t="inlineStr">
        <is>
          <t>Шишка. Пино Нуар — Усадьба Мезыбь — Розовое сухое</t>
        </is>
      </c>
      <c r="P88" t="inlineStr">
        <is>
          <t>Шишка. Оранж — Усадьба Мезыбь — Белое сухое</t>
        </is>
      </c>
      <c r="Q88" t="inlineStr">
        <is>
          <t>Шишка. Шенен Блан, Совиньон Блан — Усадьба Мезыбь — Белое сухое</t>
        </is>
      </c>
      <c r="R88" t="inlineStr">
        <is>
          <t>Шишка. Шенен Блан — Усадьба Мезыбь — Белое сухое</t>
        </is>
      </c>
    </row>
    <row r="89">
      <c r="A89" t="inlineStr">
        <is>
          <t>96.76_07-09-2026_14-57-04.webp</t>
        </is>
      </c>
      <c r="B89" t="inlineStr">
        <is>
          <t>уверенно</t>
        </is>
      </c>
      <c r="C89" t="inlineStr">
        <is>
          <t>pozdnij-sbor-krasnoe</t>
        </is>
      </c>
      <c r="D89" t="inlineStr">
        <is>
          <t>Поздний сбор, Красное — Литавщук. Litavshchuk vineyards &amp; winery — Красное сладкое</t>
        </is>
      </c>
      <c r="F89" t="inlineStr">
        <is>
          <t>pozdnij-sbor-beloe</t>
        </is>
      </c>
      <c r="G89" t="inlineStr">
        <is>
          <t>pozdnij-sbor-krasnoe</t>
        </is>
      </c>
      <c r="H89" t="inlineStr">
        <is>
          <t>usadba-aleksandrovskaya-bubnovyy-valet-kaberne-sovinon-krasnoe-polusladkoe-13</t>
        </is>
      </c>
      <c r="I89" t="inlineStr">
        <is>
          <t>sober-bash-dve-doliny-tsimlyanskiy-2023-tsimlyanskiy-chernyy-krasnoe-suhoe-13</t>
        </is>
      </c>
      <c r="J89" t="inlineStr">
        <is>
          <t>kokur-premium</t>
        </is>
      </c>
      <c r="K89">
        <f>IF(C89="","",IFERROR(MATCH(C89,F89:J89,0),"нет"))</f>
        <v/>
      </c>
      <c r="L89">
        <f>IF(C89="","",IF(K89=1,1,0))</f>
        <v/>
      </c>
      <c r="M89">
        <f>IF(C89="","",IF(ISNUMBER(K89),1,0))</f>
        <v/>
      </c>
      <c r="N89" t="inlineStr">
        <is>
          <t>Поздний сбор  Белое — Литавщук. Litavshchuk vineyards &amp; winery — Белое сладкое</t>
        </is>
      </c>
      <c r="O89" t="inlineStr">
        <is>
          <t>Поздний сбор, Красное — Литавщук. Litavshchuk vineyards &amp; winery — Красное сладкое</t>
        </is>
      </c>
      <c r="P89" t="inlineStr">
        <is>
          <t>Бубновый Валет — Усадьба Александровская — Красное полусладкое</t>
        </is>
      </c>
      <c r="Q89" t="inlineStr">
        <is>
          <t>Две долины. Цимлянский 2023 — Собер Баш — Красное сухое</t>
        </is>
      </c>
      <c r="R89" t="inlineStr">
        <is>
          <t>Кокур Премиум — Массандра — Белое сухое</t>
        </is>
      </c>
    </row>
    <row r="90">
      <c r="A90" t="inlineStr">
        <is>
          <t>96.77_24-08-2026_14-10-46.webp</t>
        </is>
      </c>
      <c r="B90" t="inlineStr">
        <is>
          <t>уверенно</t>
        </is>
      </c>
      <c r="C90" t="inlineStr">
        <is>
          <t>golubitskoe-estate-red-blend-kaberne-sovinon-krasnoe-suhoe-136</t>
        </is>
      </c>
      <c r="D90" t="inlineStr">
        <is>
          <t>Red Blend — Golubitskoe Estate — Красное сухое</t>
        </is>
      </c>
      <c r="F90" t="inlineStr">
        <is>
          <t>golubitskoe-estate-winery-series-roze-blend-kaberne-sovinon-rozovoe-suhoe-117</t>
        </is>
      </c>
      <c r="G90" t="inlineStr">
        <is>
          <t>golubitskoe-estate-winery-series-pino-nuar-rozovoe-suhoe-115</t>
        </is>
      </c>
      <c r="H90" t="inlineStr">
        <is>
          <t>golubitskoe-estate-red-blend-kaberne-sovinon-krasnoe-suhoe-136</t>
        </is>
      </c>
      <c r="I90" t="inlineStr">
        <is>
          <t>golubitskoe-estate-noble-selection-red-blend-kaberne-sovinon-krasnoe-suhoe-136</t>
        </is>
      </c>
      <c r="J90" t="inlineStr">
        <is>
          <t>pomeste-golubitskoe-kaberne-sovinon-rezerv-krasnoe-suhoe-143</t>
        </is>
      </c>
      <c r="K90">
        <f>IF(C90="","",IFERROR(MATCH(C90,F90:J90,0),"нет"))</f>
        <v/>
      </c>
      <c r="L90">
        <f>IF(C90="","",IF(K90=1,1,0))</f>
        <v/>
      </c>
      <c r="M90">
        <f>IF(C90="","",IF(ISNUMBER(K90),1,0))</f>
        <v/>
      </c>
      <c r="N90" t="inlineStr">
        <is>
          <t>Winery Series. Розе бленд — Golubitskoe Estate — Розовое сухое</t>
        </is>
      </c>
      <c r="O90" t="inlineStr">
        <is>
          <t>Winery Series. Пино Нуар — Golubitskoe Estate — Розовое сухое</t>
        </is>
      </c>
      <c r="P90" t="inlineStr">
        <is>
          <t>Red Blend — Golubitskoe Estate — Красное сухое</t>
        </is>
      </c>
      <c r="Q90" t="inlineStr">
        <is>
          <t>Noble Selection Red Blend — Golubitskoe Estate — Красное сухое</t>
        </is>
      </c>
      <c r="R90" t="inlineStr">
        <is>
          <t>Каберне Совиньон Резерв — Golubitskoe Estate — Красное сухое</t>
        </is>
      </c>
    </row>
    <row r="91">
      <c r="A91" t="inlineStr">
        <is>
          <t>96.78_25-08-2026_18-04-42.webp</t>
        </is>
      </c>
      <c r="B91" t="inlineStr">
        <is>
          <t>исключено</t>
        </is>
      </c>
      <c r="E91" t="inlineStr">
        <is>
          <t>здесь на фото 2 вина разных</t>
        </is>
      </c>
      <c r="F91" t="inlineStr">
        <is>
          <t>czitronnyj-magaracha</t>
        </is>
      </c>
      <c r="G91" t="inlineStr">
        <is>
          <t>rubin-golodrigi</t>
        </is>
      </c>
      <c r="H91" t="inlineStr">
        <is>
          <t>risling-1</t>
        </is>
      </c>
      <c r="I91" t="inlineStr">
        <is>
          <t>kaberne-sovinon-2</t>
        </is>
      </c>
      <c r="J91" t="inlineStr">
        <is>
          <t>bukovinka</t>
        </is>
      </c>
      <c r="K91">
        <f>IF(C91="","",IFERROR(MATCH(C91,F91:J91,0),"нет"))</f>
        <v/>
      </c>
      <c r="L91">
        <f>IF(C91="","",IF(K91=1,1,0))</f>
        <v/>
      </c>
      <c r="M91">
        <f>IF(C91="","",IF(ISNUMBER(K91),1,0))</f>
        <v/>
      </c>
      <c r="N91" t="inlineStr">
        <is>
          <t>Цитрон — Табия — Белое сухое</t>
        </is>
      </c>
      <c r="O91" t="inlineStr">
        <is>
          <t>Рубин Голодриги  — Табия — Красное сухое</t>
        </is>
      </c>
      <c r="P91" t="inlineStr">
        <is>
          <t>Рислинг — Табия — Белое полусухое</t>
        </is>
      </c>
      <c r="Q91" t="inlineStr">
        <is>
          <t>Каберне Совиньон — Табия — Красное сухое</t>
        </is>
      </c>
      <c r="R91" t="inlineStr">
        <is>
          <t>Буковинка — Табия — Белое полусухое</t>
        </is>
      </c>
    </row>
    <row r="92">
      <c r="A92" t="inlineStr">
        <is>
          <t>96.79_20-08-2026_17-48-31.webp</t>
        </is>
      </c>
      <c r="B92" t="inlineStr">
        <is>
          <t>уверенно</t>
        </is>
      </c>
      <c r="C92" t="inlineStr">
        <is>
          <t>oleg</t>
        </is>
      </c>
      <c r="D92" t="inlineStr">
        <is>
          <t>Олег — Табия — Белое сухое</t>
        </is>
      </c>
      <c r="F92" t="inlineStr">
        <is>
          <t>oleg</t>
        </is>
      </c>
      <c r="G92" t="inlineStr">
        <is>
          <t>kaberne-sovinon-2</t>
        </is>
      </c>
      <c r="H92" t="inlineStr">
        <is>
          <t>rubin-golodrigi</t>
        </is>
      </c>
      <c r="I92" t="inlineStr">
        <is>
          <t>roze-2</t>
        </is>
      </c>
      <c r="J92" t="inlineStr">
        <is>
          <t>czitronnyj-magaracha</t>
        </is>
      </c>
      <c r="K92">
        <f>IF(C92="","",IFERROR(MATCH(C92,F92:J92,0),"нет"))</f>
        <v/>
      </c>
      <c r="L92">
        <f>IF(C92="","",IF(K92=1,1,0))</f>
        <v/>
      </c>
      <c r="M92">
        <f>IF(C92="","",IF(ISNUMBER(K92),1,0))</f>
        <v/>
      </c>
      <c r="N92" t="inlineStr">
        <is>
          <t>Олег — Табия — Белое сухое</t>
        </is>
      </c>
      <c r="O92" t="inlineStr">
        <is>
          <t>Каберне Совиньон — Табия — Красное сухое</t>
        </is>
      </c>
      <c r="P92" t="inlineStr">
        <is>
          <t>Рубин Голодриги  — Табия — Красное сухое</t>
        </is>
      </c>
      <c r="Q92" t="inlineStr">
        <is>
          <t>Розе — Табия — Розовое сухое</t>
        </is>
      </c>
      <c r="R92" t="inlineStr">
        <is>
          <t>Цитрон — Табия — Белое сухое</t>
        </is>
      </c>
    </row>
    <row r="93">
      <c r="A93" t="inlineStr">
        <is>
          <t>96.79_28-08-2026_22-05-22.webp</t>
        </is>
      </c>
      <c r="B93" t="inlineStr">
        <is>
          <t>уверенно</t>
        </is>
      </c>
      <c r="C93" t="inlineStr">
        <is>
          <t>vinodelnya-vedernikov-vedernikov-dolina-dona-beloe-suhoe-aligote-12</t>
        </is>
      </c>
      <c r="D93" t="inlineStr">
        <is>
          <t>Ведерниковъ Долина Дона Белое Сухое — Ведерниковъ — Белое сухое</t>
        </is>
      </c>
      <c r="F93" t="inlineStr">
        <is>
          <t>vinodelnya-vedernikov-vedernikov-dolina-dona-beloe-suhoe-aligote-12</t>
        </is>
      </c>
      <c r="G93" t="inlineStr">
        <is>
          <t>vinodelnya-vedernikov-sibirkovyy-beloe-suhoe-11</t>
        </is>
      </c>
      <c r="H93" t="inlineStr">
        <is>
          <t>vinodelnya-vedernikov-vedernikov-dolina-dona-krasnoe-suhoe-kaberne-sovinon-125</t>
        </is>
      </c>
      <c r="I93" t="inlineStr">
        <is>
          <t>vinodelnya-vedernikov-gubernatorskoe-risling-beloe-suhoe-12</t>
        </is>
      </c>
      <c r="J93" t="inlineStr">
        <is>
          <t>vinodelnya-vedernikov-krasnostop-zolotovskiy-krasnoe-suhoe-13</t>
        </is>
      </c>
      <c r="K93">
        <f>IF(C93="","",IFERROR(MATCH(C93,F93:J93,0),"нет"))</f>
        <v/>
      </c>
      <c r="L93">
        <f>IF(C93="","",IF(K93=1,1,0))</f>
        <v/>
      </c>
      <c r="M93">
        <f>IF(C93="","",IF(ISNUMBER(K93),1,0))</f>
        <v/>
      </c>
      <c r="N93" t="inlineStr">
        <is>
          <t>Ведерниковъ Долина Дона Белое Сухое — Ведерниковъ — Белое сухое</t>
        </is>
      </c>
      <c r="O93" t="inlineStr">
        <is>
          <t>Сибирьковый — Ведерниковъ — Белое сухое</t>
        </is>
      </c>
      <c r="P93" t="inlineStr">
        <is>
          <t>Ведерниковъ Долина Дона Красное Сухое — Ведерниковъ — Красное сухое</t>
        </is>
      </c>
      <c r="Q93" t="inlineStr">
        <is>
          <t>Губернаторское. Рислинг — Ведерниковъ — Белое сухое</t>
        </is>
      </c>
      <c r="R93" t="inlineStr">
        <is>
          <t>Красностоп Золотовский — Ведерниковъ — Красное сухое</t>
        </is>
      </c>
    </row>
    <row r="94">
      <c r="A94" t="inlineStr">
        <is>
          <t>96.7_28-08-2026_13-50-21.webp</t>
        </is>
      </c>
      <c r="B94" t="inlineStr">
        <is>
          <t>нет в каталоге</t>
        </is>
      </c>
      <c r="F94" t="inlineStr">
        <is>
          <t>usadba-divnomorskoe-yuzhnyy-les-merlo-krasnoe-suhoe-137</t>
        </is>
      </c>
      <c r="G94" t="inlineStr">
        <is>
          <t>usadba-divnomorskoe-solnechnyy-veter-shardone-beloe-suhoe-125</t>
        </is>
      </c>
      <c r="H94" t="inlineStr">
        <is>
          <t>usadba-divnomorskoe-solist-marselan-rozovoe-suhoe-115</t>
        </is>
      </c>
      <c r="I94" t="inlineStr">
        <is>
          <t>usadba-divnomorskoe-holodnyy-tuman-risling-beloe-suhoe-115</t>
        </is>
      </c>
      <c r="J94" t="inlineStr">
        <is>
          <t>vinodelnya-vedernikov-vedernikov-krasnostop-zolotovskiy-magnum-krasnoe-suhoe-145</t>
        </is>
      </c>
      <c r="K94">
        <f>IF(C94="","",IFERROR(MATCH(C94,F94:J94,0),"нет"))</f>
        <v/>
      </c>
      <c r="L94">
        <f>IF(C94="","",IF(K94=1,1,0))</f>
        <v/>
      </c>
      <c r="M94">
        <f>IF(C94="","",IF(ISNUMBER(K94),1,0))</f>
        <v/>
      </c>
      <c r="N94" t="inlineStr">
        <is>
          <t>Южный Лес — Усадьба Дивноморское — Красное сухое</t>
        </is>
      </c>
      <c r="O94" t="inlineStr">
        <is>
          <t>Солнечный Ветер — Усадьба Дивноморское — Белое сухое</t>
        </is>
      </c>
      <c r="P94" t="inlineStr">
        <is>
          <t>Солист — Усадьба Дивноморское — Розовое сухое</t>
        </is>
      </c>
      <c r="Q94" t="inlineStr">
        <is>
          <t>Холодный Туман — Усадьба Дивноморское — Белое сухое</t>
        </is>
      </c>
      <c r="R94" t="inlineStr">
        <is>
          <t>Ведерниковъ Красностоп Золотовский (магнум) — Ведерниковъ — Красное сухое</t>
        </is>
      </c>
    </row>
    <row r="95">
      <c r="A95" t="inlineStr">
        <is>
          <t>96.83_20-08-2026_17-48-13.webp</t>
        </is>
      </c>
      <c r="B95" t="inlineStr">
        <is>
          <t>уверенно</t>
        </is>
      </c>
      <c r="C95" t="inlineStr">
        <is>
          <t>oleg</t>
        </is>
      </c>
      <c r="D95" t="inlineStr">
        <is>
          <t>Олег — Табия — Белое сухое</t>
        </is>
      </c>
      <c r="F95" t="inlineStr">
        <is>
          <t>oleg</t>
        </is>
      </c>
      <c r="G95" t="inlineStr">
        <is>
          <t>roze-2</t>
        </is>
      </c>
      <c r="H95" t="inlineStr">
        <is>
          <t>rubin-golodrigi</t>
        </is>
      </c>
      <c r="I95" t="inlineStr">
        <is>
          <t>kaberne-sovinon-2</t>
        </is>
      </c>
      <c r="J95" t="inlineStr">
        <is>
          <t>rozovoe-zoloto</t>
        </is>
      </c>
      <c r="K95">
        <f>IF(C95="","",IFERROR(MATCH(C95,F95:J95,0),"нет"))</f>
        <v/>
      </c>
      <c r="L95">
        <f>IF(C95="","",IF(K95=1,1,0))</f>
        <v/>
      </c>
      <c r="M95">
        <f>IF(C95="","",IF(ISNUMBER(K95),1,0))</f>
        <v/>
      </c>
      <c r="N95" t="inlineStr">
        <is>
          <t>Олег — Табия — Белое сухое</t>
        </is>
      </c>
      <c r="O95" t="inlineStr">
        <is>
          <t>Розе — Табия — Розовое сухое</t>
        </is>
      </c>
      <c r="P95" t="inlineStr">
        <is>
          <t>Рубин Голодриги  — Табия — Красное сухое</t>
        </is>
      </c>
      <c r="Q95" t="inlineStr">
        <is>
          <t>Каберне Совиньон — Табия — Красное сухое</t>
        </is>
      </c>
      <c r="R95" t="inlineStr">
        <is>
          <t>Розовое золото — Табия — Розовое полусухое</t>
        </is>
      </c>
    </row>
    <row r="96">
      <c r="A96" t="inlineStr">
        <is>
          <t>96.8_25-08-2026_22-20-38.webp</t>
        </is>
      </c>
      <c r="B96" t="inlineStr">
        <is>
          <t>не уверен</t>
        </is>
      </c>
      <c r="C96" t="inlineStr">
        <is>
          <t>sovinon-blan</t>
        </is>
      </c>
      <c r="D96" t="inlineStr">
        <is>
          <t>Совиньон Блан — Литавщук. Litavshchuk vineyards &amp; winery — Белое полусладкое</t>
        </is>
      </c>
      <c r="E96" t="inlineStr">
        <is>
          <t>то что в slug полусладкое, а на фото полусухое</t>
        </is>
      </c>
      <c r="F96" t="inlineStr">
        <is>
          <t>sovinon-blan</t>
        </is>
      </c>
      <c r="G96" t="inlineStr">
        <is>
          <t>blagolyubov-sovinon-blan-beloe-suhoe-125</t>
        </is>
      </c>
      <c r="H96" t="inlineStr">
        <is>
          <t>dubinin-winery-sovinon-blan-beloe-suhoe-12</t>
        </is>
      </c>
      <c r="I96" t="inlineStr">
        <is>
          <t>vinodelnya-myshako-sovinon-blan-beloe-suhoe-122</t>
        </is>
      </c>
      <c r="J96" t="inlineStr">
        <is>
          <t>sober-bash-kumshatskiy-kumshatskiy-belyy-beloe-suhoe-11</t>
        </is>
      </c>
      <c r="K96">
        <f>IF(C96="","",IFERROR(MATCH(C96,F96:J96,0),"нет"))</f>
        <v/>
      </c>
      <c r="L96">
        <f>IF(C96="","",IF(K96=1,1,0))</f>
        <v/>
      </c>
      <c r="M96">
        <f>IF(C96="","",IF(ISNUMBER(K96),1,0))</f>
        <v/>
      </c>
      <c r="N96" t="inlineStr">
        <is>
          <t>Совиньон Блан — Литавщук. Litavshchuk vineyards &amp; winery — Белое полусладкое</t>
        </is>
      </c>
      <c r="O96" t="inlineStr">
        <is>
          <t>Совиньон Блан — Благолюбов — Белое сухое</t>
        </is>
      </c>
      <c r="P96" t="inlineStr">
        <is>
          <t>Совиньон Блан — Dubinin Winery — Белое сухое</t>
        </is>
      </c>
      <c r="Q96" t="inlineStr">
        <is>
          <t>Совиньон Блан — Мысхако — Белое сухое</t>
        </is>
      </c>
      <c r="R96" t="inlineStr">
        <is>
          <t>Кумшацкий — Собер Баш — Белое сухое</t>
        </is>
      </c>
    </row>
    <row r="97">
      <c r="A97" t="inlineStr">
        <is>
          <t>96.96_05-09-2026_19-02-01.webp</t>
        </is>
      </c>
      <c r="B97" t="inlineStr">
        <is>
          <t>уверенно</t>
        </is>
      </c>
      <c r="C97" t="inlineStr">
        <is>
          <t>denisov_rubin_klaret_krasnaya_strelka</t>
        </is>
      </c>
      <c r="D97" t="inlineStr">
        <is>
          <t>Рубин кларет . Красная стрелка — Denisov Winery — Розовое сухое</t>
        </is>
      </c>
      <c r="F97" t="inlineStr">
        <is>
          <t>denisov_rubin_klaret_krasnaya_strelka</t>
        </is>
      </c>
      <c r="G97" t="inlineStr">
        <is>
          <t>denisov_pino_noir_klaret</t>
        </is>
      </c>
      <c r="H97" t="inlineStr">
        <is>
          <t>vinodelnya-pokrovskaya-pokrovskoe-sladkoe-krasnoe-kaberne-sovinon-13</t>
        </is>
      </c>
      <c r="I97" t="inlineStr">
        <is>
          <t>usadba-aleksandrovskaya-bubnovyy-valet-kaberne-sovinon-krasnoe-polusladkoe-13</t>
        </is>
      </c>
      <c r="J97" t="inlineStr">
        <is>
          <t>vinodelnya-78-aligote-otbornoe-beloe-suhoe-12</t>
        </is>
      </c>
      <c r="K97">
        <f>IF(C97="","",IFERROR(MATCH(C97,F97:J97,0),"нет"))</f>
        <v/>
      </c>
      <c r="L97">
        <f>IF(C97="","",IF(K97=1,1,0))</f>
        <v/>
      </c>
      <c r="M97">
        <f>IF(C97="","",IF(ISNUMBER(K97),1,0))</f>
        <v/>
      </c>
      <c r="N97" t="inlineStr">
        <is>
          <t>Рубин кларет . Красная стрелка — Denisov Winery — Розовое сухое</t>
        </is>
      </c>
      <c r="O97" t="inlineStr">
        <is>
          <t>Пино Нуар кларет. Красная стрелка — Denisov Winery — Розовое сухое</t>
        </is>
      </c>
      <c r="P97" t="inlineStr">
        <is>
          <t>Покровское сладкое красное — Винодельня Покровская — Красное сладкое</t>
        </is>
      </c>
      <c r="Q97" t="inlineStr">
        <is>
          <t>Бубновый Валет — Усадьба Александровская — Красное полусладкое</t>
        </is>
      </c>
      <c r="R97" t="inlineStr">
        <is>
          <t>Алиготе Отборное — Винодельня 78 — Белое сухое</t>
        </is>
      </c>
    </row>
    <row r="98">
      <c r="A98" t="inlineStr">
        <is>
          <t>96.98_19-08-2026_19-05-06.webp</t>
        </is>
      </c>
      <c r="B98" t="inlineStr">
        <is>
          <t>уверенно</t>
        </is>
      </c>
      <c r="C98" t="inlineStr">
        <is>
          <t>czitronnyj-magaracha</t>
        </is>
      </c>
      <c r="D98" t="inlineStr">
        <is>
          <t>Цитрон — Табия — Белое сухое</t>
        </is>
      </c>
      <c r="E98" t="inlineStr">
        <is>
          <t>в slug сухое, а нужно полусухое, но полусухого нет</t>
        </is>
      </c>
      <c r="F98" t="inlineStr">
        <is>
          <t>czitronnyj-magaracha</t>
        </is>
      </c>
      <c r="G98" t="inlineStr">
        <is>
          <t>risling-1</t>
        </is>
      </c>
      <c r="H98" t="inlineStr">
        <is>
          <t>oleg</t>
        </is>
      </c>
      <c r="I98" t="inlineStr">
        <is>
          <t>bukovinka</t>
        </is>
      </c>
      <c r="J98" t="inlineStr">
        <is>
          <t>rubin-golodrigi</t>
        </is>
      </c>
      <c r="K98">
        <f>IF(C98="","",IFERROR(MATCH(C98,F98:J98,0),"нет"))</f>
        <v/>
      </c>
      <c r="L98">
        <f>IF(C98="","",IF(K98=1,1,0))</f>
        <v/>
      </c>
      <c r="M98">
        <f>IF(C98="","",IF(ISNUMBER(K98),1,0))</f>
        <v/>
      </c>
      <c r="N98" t="inlineStr">
        <is>
          <t>Цитрон — Табия — Белое сухое</t>
        </is>
      </c>
      <c r="O98" t="inlineStr">
        <is>
          <t>Рислинг — Табия — Белое полусухое</t>
        </is>
      </c>
      <c r="P98" t="inlineStr">
        <is>
          <t>Олег — Табия — Белое сухое</t>
        </is>
      </c>
      <c r="Q98" t="inlineStr">
        <is>
          <t>Буковинка — Табия — Белое полусухое</t>
        </is>
      </c>
      <c r="R98" t="inlineStr">
        <is>
          <t>Рубин Голодриги  — Табия — Красное сухое</t>
        </is>
      </c>
    </row>
    <row r="99">
      <c r="A99" t="inlineStr">
        <is>
          <t>97.02_29-08-2026_18-49-02.webp</t>
        </is>
      </c>
      <c r="B99" t="inlineStr">
        <is>
          <t>нет в каталоге</t>
        </is>
      </c>
      <c r="F99" t="inlineStr">
        <is>
          <t>caperavi-avtorskoe-vino</t>
        </is>
      </c>
      <c r="G99" t="inlineStr">
        <is>
          <t>kaberne-avtorskoe-vino</t>
        </is>
      </c>
      <c r="H99" t="inlineStr">
        <is>
          <t>massandra-premium-sangiovese-sandzhoveze-krasnoe-suhoe-13</t>
        </is>
      </c>
      <c r="I99" t="inlineStr">
        <is>
          <t>massandra-kagor-yuzhnoberezhnyy-saperavi-krasnoe-sladkoe-16</t>
        </is>
      </c>
      <c r="J99" t="inlineStr">
        <is>
          <t>kaberne-sovinon</t>
        </is>
      </c>
      <c r="K99">
        <f>IF(C99="","",IFERROR(MATCH(C99,F99:J99,0),"нет"))</f>
        <v/>
      </c>
      <c r="L99">
        <f>IF(C99="","",IF(K99=1,1,0))</f>
        <v/>
      </c>
      <c r="M99">
        <f>IF(C99="","",IF(ISNUMBER(K99),1,0))</f>
        <v/>
      </c>
      <c r="N99" t="inlineStr">
        <is>
          <t>Cаперави. Авторское вино — Массандра — Красное сухое</t>
        </is>
      </c>
      <c r="O99" t="inlineStr">
        <is>
          <t>Каберне. Авторское вино — Массандра — Красное сухое</t>
        </is>
      </c>
      <c r="P99" t="inlineStr">
        <is>
          <t>Premium Sangiovese — Массандра — Красное сухое</t>
        </is>
      </c>
      <c r="Q99" t="inlineStr">
        <is>
          <t>Кагор Южнобережный — Массандра — Красное сладкое</t>
        </is>
      </c>
      <c r="R99" t="inlineStr">
        <is>
          <t>Каберне Совиньон — Массандра — Красное сладкое</t>
        </is>
      </c>
    </row>
    <row r="100">
      <c r="A100" t="inlineStr">
        <is>
          <t>97.08_05-09-2026_15-30-50.webp</t>
        </is>
      </c>
      <c r="B100" t="inlineStr">
        <is>
          <t>нет в каталоге</t>
        </is>
      </c>
      <c r="F100" t="inlineStr">
        <is>
          <t>fanagoriya-alveus-ultra-cuvee-brut-shardone-beloe-bryut-12</t>
        </is>
      </c>
      <c r="G100" t="inlineStr">
        <is>
          <t>novyy-svet-dom-shampanskih-vin-igristoe-vino-vyderzhannoe-polusladkoe-rozovoe-novyy-svet-pino-fran-135</t>
        </is>
      </c>
      <c r="H100" t="inlineStr">
        <is>
          <t>fanagoriya-alveus-ultra-cuvee-ekstra-bryut-rozovoe-merlo-12</t>
        </is>
      </c>
      <c r="I100" t="inlineStr">
        <is>
          <t>fanagoriya-alveus-ultra-cuvee-ekstra-bryut-beloe-risling-reynskiy-12</t>
        </is>
      </c>
      <c r="J100" t="inlineStr">
        <is>
          <t>rozovoe-bryut-1</t>
        </is>
      </c>
      <c r="K100">
        <f>IF(C100="","",IFERROR(MATCH(C100,F100:J100,0),"нет"))</f>
        <v/>
      </c>
      <c r="L100">
        <f>IF(C100="","",IF(K100=1,1,0))</f>
        <v/>
      </c>
      <c r="M100">
        <f>IF(C100="","",IF(ISNUMBER(K100),1,0))</f>
        <v/>
      </c>
      <c r="N100" t="inlineStr">
        <is>
          <t>Alveus Ultra Cuvee Brut — Фанагория — Белое брют</t>
        </is>
      </c>
      <c r="O100" t="inlineStr">
        <is>
          <t>Игристое вино выдержанное полусладкое розовое «Новый Свет. Пино Фран» — Новый Свет. Дом шампанских вин — Розовое полусладкое</t>
        </is>
      </c>
      <c r="P100" t="inlineStr">
        <is>
          <t>Alveus Ultra Cuvee. Экстра брют розовое — Фанагория — Розовое экстра брют</t>
        </is>
      </c>
      <c r="Q100" t="inlineStr">
        <is>
          <t>Alveus Ultra Cuvee. Экстра брют белое — Фанагория — Белое экстра брют</t>
        </is>
      </c>
      <c r="R100" t="inlineStr">
        <is>
          <t>Розовое брют — Золотая Балка — Розовое брют</t>
        </is>
      </c>
    </row>
    <row r="101">
      <c r="A101" t="inlineStr">
        <is>
          <t>97.23_05-09-2026_15-34-36.webp</t>
        </is>
      </c>
      <c r="B101" t="inlineStr">
        <is>
          <t>не уверен</t>
        </is>
      </c>
      <c r="C101" t="inlineStr">
        <is>
          <t>sovinon-blan</t>
        </is>
      </c>
      <c r="D101" t="inlineStr">
        <is>
          <t>Совиньон Блан — Литавщук. Litavshchuk vineyards &amp; winery — Белое полусладкое</t>
        </is>
      </c>
      <c r="E101" t="inlineStr">
        <is>
          <t>то что в slug полусладкое, а на фото полусухое</t>
        </is>
      </c>
      <c r="F101" t="inlineStr">
        <is>
          <t>sovinon-blan</t>
        </is>
      </c>
      <c r="G101" t="inlineStr">
        <is>
          <t>blagolyubov-sovinon-blan-beloe-suhoe-125</t>
        </is>
      </c>
      <c r="H101" t="inlineStr">
        <is>
          <t>vinodelnya-begildeeva-kaberne-sovinon-krasnoe-suhoe-14</t>
        </is>
      </c>
      <c r="I101" t="inlineStr">
        <is>
          <t>risling-2</t>
        </is>
      </c>
      <c r="J101" t="inlineStr">
        <is>
          <t>vinodelnya-pokrovskaya-sovinon-blan-pokrovskoe-beloe-suhoe-12</t>
        </is>
      </c>
      <c r="K101">
        <f>IF(C101="","",IFERROR(MATCH(C101,F101:J101,0),"нет"))</f>
        <v/>
      </c>
      <c r="L101">
        <f>IF(C101="","",IF(K101=1,1,0))</f>
        <v/>
      </c>
      <c r="M101">
        <f>IF(C101="","",IF(ISNUMBER(K101),1,0))</f>
        <v/>
      </c>
      <c r="N101" t="inlineStr">
        <is>
          <t>Совиньон Блан — Литавщук. Litavshchuk vineyards &amp; winery — Белое полусладкое</t>
        </is>
      </c>
      <c r="O101" t="inlineStr">
        <is>
          <t>Совиньон Блан — Благолюбов — Белое сухое</t>
        </is>
      </c>
      <c r="P101" t="inlineStr">
        <is>
          <t>Каберне Совиньон — Винодельня Бегильдеева — Красное сухое</t>
        </is>
      </c>
      <c r="Q101" t="inlineStr">
        <is>
          <t>Рислинг  — Литавщук. Litavshchuk vineyards &amp; winery — Белое полусухое</t>
        </is>
      </c>
      <c r="R101" t="inlineStr">
        <is>
          <t>Совиньон Блан. Покровское — Винодельня Покровская — Белое сухое</t>
        </is>
      </c>
    </row>
  </sheetData>
  <autoFilter ref="A1:R101"/>
  <conditionalFormatting sqref="F2:J101">
    <cfRule type="expression" priority="1" dxfId="0">
      <formula>AND($C2&lt;&gt;"",F2=$C2)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34" customWidth="1" min="3" max="3"/>
    <col width="40" customWidth="1" min="4" max="4"/>
    <col width="30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9" customWidth="1" min="11" max="11"/>
    <col width="9" customWidth="1" min="12" max="12"/>
    <col width="9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12" customWidth="1" min="19" max="19"/>
    <col width="12" customWidth="1" min="20" max="20"/>
    <col width="10" customWidth="1" min="21" max="21"/>
  </cols>
  <sheetData>
    <row r="1">
      <c r="A1" s="5" t="inlineStr">
        <is>
          <t>Фото</t>
        </is>
      </c>
      <c r="B1" s="5" t="inlineStr">
        <is>
          <t>Статус разметки</t>
        </is>
      </c>
      <c r="C1" s="5" t="inlineStr">
        <is>
          <t>target</t>
        </is>
      </c>
      <c r="D1" s="5" t="inlineStr">
        <is>
          <t>target: вино</t>
        </is>
      </c>
      <c r="E1" s="5" t="inlineStr">
        <is>
          <t>Комментарий разметчика</t>
        </is>
      </c>
      <c r="F1" s="5" t="inlineStr">
        <is>
          <t>top-1</t>
        </is>
      </c>
      <c r="G1" s="5" t="inlineStr">
        <is>
          <t>top-2</t>
        </is>
      </c>
      <c r="H1" s="5" t="inlineStr">
        <is>
          <t>top-3</t>
        </is>
      </c>
      <c r="I1" s="5" t="inlineStr">
        <is>
          <t>top-4</t>
        </is>
      </c>
      <c r="J1" s="5" t="inlineStr">
        <is>
          <t>top-5</t>
        </is>
      </c>
      <c r="K1" s="5" t="inlineStr">
        <is>
          <t>Ранг target</t>
        </is>
      </c>
      <c r="L1" s="5" t="inlineStr">
        <is>
          <t>Верно top-1</t>
        </is>
      </c>
      <c r="M1" s="5" t="inlineStr">
        <is>
          <t>Верно top-5</t>
        </is>
      </c>
      <c r="N1" s="5" t="inlineStr">
        <is>
          <t>top-1: вино</t>
        </is>
      </c>
      <c r="O1" s="5" t="inlineStr">
        <is>
          <t>top-2: вино</t>
        </is>
      </c>
      <c r="P1" s="5" t="inlineStr">
        <is>
          <t>top-3: вино</t>
        </is>
      </c>
      <c r="Q1" s="5" t="inlineStr">
        <is>
          <t>top-4: вино</t>
        </is>
      </c>
      <c r="R1" s="5" t="inlineStr">
        <is>
          <t>top-5: вино</t>
        </is>
      </c>
      <c r="S1" s="5" t="inlineStr">
        <is>
          <t>top-1: вероятность VLM</t>
        </is>
      </c>
      <c r="T1" s="5" t="inlineStr">
        <is>
          <t>«нет в списке» (VLM)</t>
        </is>
      </c>
      <c r="U1" s="5" t="inlineStr">
        <is>
          <t>VLM, мс</t>
        </is>
      </c>
    </row>
    <row r="2">
      <c r="A2" t="inlineStr">
        <is>
          <t>1.73_06-09-2026_14-54-06.webp</t>
        </is>
      </c>
      <c r="B2" t="inlineStr">
        <is>
          <t>не уверен</t>
        </is>
      </c>
      <c r="C2" t="inlineStr">
        <is>
          <t>fanagoriya-rose-kaberne-fran-rozovoe-suhoe-13</t>
        </is>
      </c>
      <c r="D2" t="inlineStr">
        <is>
          <t>Rose. Каберне Фран — Фанагория — Розовое сухое</t>
        </is>
      </c>
      <c r="E2" t="inlineStr">
        <is>
          <t>договоримся так, после __ я буду писать свои комментарии. этого вина нет в наборе, но я не уверен</t>
        </is>
      </c>
      <c r="F2" t="inlineStr">
        <is>
          <t>rozovoe-polusladkoe</t>
        </is>
      </c>
      <c r="G2" t="inlineStr">
        <is>
          <t>fanagoriya-fanagoria-extra-brut-rose-2019-pino-nuar-igristoe-bryut-rozovoe-ekstra-bryut-12</t>
        </is>
      </c>
      <c r="H2" t="inlineStr">
        <is>
          <t>fanagoriya-rose-saperavi-rozovoe-polusuhoe-125</t>
        </is>
      </c>
      <c r="I2" t="inlineStr">
        <is>
          <t>fanagoriya-zelyonoe-vino-risling-tsitronnyy-magaracha-merlo-rozovoe-polusuhoe-11</t>
        </is>
      </c>
      <c r="J2" t="inlineStr">
        <is>
          <t>fanagoriya-beloe-polusladkoe</t>
        </is>
      </c>
      <c r="K2">
        <f>IF(C2="","",IFERROR(MATCH(C2,F2:J2,0),"нет"))</f>
        <v/>
      </c>
      <c r="L2">
        <f>IF(C2="","",IF(K2=1,1,0))</f>
        <v/>
      </c>
      <c r="M2">
        <f>IF(C2="","",IF(ISNUMBER(K2),1,0))</f>
        <v/>
      </c>
      <c r="N2" t="inlineStr">
        <is>
          <t>Розовое полусладкое — Фанагория — Розовое полусладкое</t>
        </is>
      </c>
      <c r="O2" t="inlineStr">
        <is>
          <t>Fanagoria Extra Brut Rose 2019 — Фанагория — Розовое экстра брют</t>
        </is>
      </c>
      <c r="P2" t="inlineStr">
        <is>
          <t>Rose. Саперави — Фанагория — Розовое полусухое</t>
        </is>
      </c>
      <c r="Q2" t="inlineStr">
        <is>
          <t>Зелёное вино. Рислинг - Цитронный Магарача - Мерло — Фанагория — Розовое полусухое</t>
        </is>
      </c>
      <c r="R2" t="inlineStr">
        <is>
          <t>Фанагория белое полусладкое — Фанагория — Белое полусладкое</t>
        </is>
      </c>
      <c r="S2" s="3" t="n">
        <v>0.8786858916282654</v>
      </c>
      <c r="T2" s="3" t="n">
        <v>0.0008012578473426402</v>
      </c>
      <c r="U2" t="n">
        <v>1828.4</v>
      </c>
    </row>
    <row r="3">
      <c r="A3" t="inlineStr">
        <is>
          <t>2.69_27-08-2026_14-29-00.webp</t>
        </is>
      </c>
      <c r="B3" t="inlineStr">
        <is>
          <t>нет в каталоге</t>
        </is>
      </c>
      <c r="F3" t="inlineStr">
        <is>
          <t>shato-pino-marselan-merlo-krasnoe-suhoe-13</t>
        </is>
      </c>
      <c r="G3" t="inlineStr">
        <is>
          <t>shato-pino-gravitatsiya-kaberne-sovinon-merlo-krasnoe-suhoe-135</t>
        </is>
      </c>
      <c r="H3" t="inlineStr">
        <is>
          <t>shato-pino-grand-reserve-pinot-noir-pino-nuar-krasnoe-suhoe-135</t>
        </is>
      </c>
      <c r="I3" t="inlineStr">
        <is>
          <t>shato-pino-shato-pino-koldun-merlo-krasnoe-suhoe-137</t>
        </is>
      </c>
      <c r="J3" t="inlineStr">
        <is>
          <t>shato-pino-sovinon-blan-semilon-beloe-suhoe-115</t>
        </is>
      </c>
      <c r="K3">
        <f>IF(C3="","",IFERROR(MATCH(C3,F3:J3,0),"нет"))</f>
        <v/>
      </c>
      <c r="L3">
        <f>IF(C3="","",IF(K3=1,1,0))</f>
        <v/>
      </c>
      <c r="M3">
        <f>IF(C3="","",IF(ISNUMBER(K3),1,0))</f>
        <v/>
      </c>
      <c r="N3" t="inlineStr">
        <is>
          <t>Марселан - Мерло — Шато Пино — Красное сухое</t>
        </is>
      </c>
      <c r="O3" t="inlineStr">
        <is>
          <t>Гравитация. Каберне Совиньон - Мерло — Шато Пино — Красное сухое</t>
        </is>
      </c>
      <c r="P3" t="inlineStr">
        <is>
          <t>Grand Reserve Pinot Noir — Шато Пино — Красное сухое</t>
        </is>
      </c>
      <c r="Q3" t="inlineStr">
        <is>
          <t>Шато Пино «Колдун» — Шато Пино — Красное сухое</t>
        </is>
      </c>
      <c r="R3" t="inlineStr">
        <is>
          <t>Совиньон Блан - Семильон — Шато Пино — Белое сухое</t>
        </is>
      </c>
      <c r="S3" s="3" t="n">
        <v>0.1344340741634369</v>
      </c>
      <c r="T3" s="3" t="n">
        <v>0.6827126145362854</v>
      </c>
      <c r="U3" t="n">
        <v>549</v>
      </c>
    </row>
    <row r="4">
      <c r="A4" t="inlineStr">
        <is>
          <t>41.8_22-08-2026_20-56-40.webp</t>
        </is>
      </c>
      <c r="B4" t="inlineStr">
        <is>
          <t>нет в каталоге</t>
        </is>
      </c>
      <c r="F4" t="inlineStr">
        <is>
          <t>usadba-mezyb-shishka-pino-nuar-rozovoe-suhoe-115</t>
        </is>
      </c>
      <c r="G4" t="inlineStr">
        <is>
          <t>pino-nuar-2025</t>
        </is>
      </c>
      <c r="H4" t="inlineStr">
        <is>
          <t>usadba-perovskih-pino-nuar-rezerv-krasnoe-suhoe-122</t>
        </is>
      </c>
      <c r="I4" t="inlineStr">
        <is>
          <t>pino-nuar</t>
        </is>
      </c>
      <c r="J4" t="inlineStr">
        <is>
          <t>bakla-vines-pino-nuar-krasnoe-suhoe-125</t>
        </is>
      </c>
      <c r="K4">
        <f>IF(C4="","",IFERROR(MATCH(C4,F4:J4,0),"нет"))</f>
        <v/>
      </c>
      <c r="L4">
        <f>IF(C4="","",IF(K4=1,1,0))</f>
        <v/>
      </c>
      <c r="M4">
        <f>IF(C4="","",IF(ISNUMBER(K4),1,0))</f>
        <v/>
      </c>
      <c r="N4" t="inlineStr">
        <is>
          <t>Шишка. Пино Нуар — Усадьба Мезыбь — Розовое сухое</t>
        </is>
      </c>
      <c r="O4" t="inlineStr">
        <is>
          <t>Пино Нуар, 2025 — Винодельня Братьев Мельниковых — Розовое сухое</t>
        </is>
      </c>
      <c r="P4" t="inlineStr">
        <is>
          <t>Пино Нуар Резерв — Усадьба Перовских — Красное сухое</t>
        </is>
      </c>
      <c r="Q4" t="inlineStr">
        <is>
          <t>Пино Нуар — Галицкий и Галицкий — Красное сухое</t>
        </is>
      </c>
      <c r="R4" t="inlineStr">
        <is>
          <t>Пино Нуар — Bakla Vines — Красное сухое</t>
        </is>
      </c>
      <c r="S4" s="3" t="n">
        <v>0.9937478303909302</v>
      </c>
      <c r="T4" s="3" t="n">
        <v>0.004061220213770866</v>
      </c>
      <c r="U4" t="n">
        <v>547.1</v>
      </c>
    </row>
    <row r="5">
      <c r="A5" t="inlineStr">
        <is>
          <t>48.98_02-09-2026_18-34-15.webp</t>
        </is>
      </c>
      <c r="B5" t="inlineStr">
        <is>
          <t>уверенно</t>
        </is>
      </c>
      <c r="C5" t="inlineStr">
        <is>
          <t>denisov_rubin_klaret_krasnaya_strelka</t>
        </is>
      </c>
      <c r="D5" t="inlineStr">
        <is>
          <t>Рубин кларет . Красная стрелка — Denisov Winery — Розовое сухое</t>
        </is>
      </c>
      <c r="F5" t="inlineStr">
        <is>
          <t>denisov_rubin_klaret_krasnaya_strelka</t>
        </is>
      </c>
      <c r="G5" t="inlineStr">
        <is>
          <t>denisov_pino_noir_klaret</t>
        </is>
      </c>
      <c r="H5" t="inlineStr">
        <is>
          <t>gunko-winery-krasnye-gliny-kaberne-fran-krasnoe-suhoe-14</t>
        </is>
      </c>
      <c r="I5" t="inlineStr">
        <is>
          <t>vinodelnya-pokrovskaya-pokrovskoe-sladkoe-krasnoe-kaberne-sovinon-13</t>
        </is>
      </c>
      <c r="J5" t="inlineStr">
        <is>
          <t>vinodelnya-konstantina-dzitoeva-kd-rezerv-merlo-krasnoe-suhoe-12</t>
        </is>
      </c>
      <c r="K5">
        <f>IF(C5="","",IFERROR(MATCH(C5,F5:J5,0),"нет"))</f>
        <v/>
      </c>
      <c r="L5">
        <f>IF(C5="","",IF(K5=1,1,0))</f>
        <v/>
      </c>
      <c r="M5">
        <f>IF(C5="","",IF(ISNUMBER(K5),1,0))</f>
        <v/>
      </c>
      <c r="N5" t="inlineStr">
        <is>
          <t>Рубин кларет . Красная стрелка — Denisov Winery — Розовое сухое</t>
        </is>
      </c>
      <c r="O5" t="inlineStr">
        <is>
          <t>Пино Нуар кларет. Красная стрелка — Denisov Winery — Розовое сухое</t>
        </is>
      </c>
      <c r="P5" t="inlineStr">
        <is>
          <t>Красные Глины — Gunko Winery — Красное сухое</t>
        </is>
      </c>
      <c r="Q5" t="inlineStr">
        <is>
          <t>Покровское сладкое красное — Винодельня Покровская — Красное сладкое</t>
        </is>
      </c>
      <c r="R5" t="inlineStr">
        <is>
          <t>KD Резерв — Винодельня Константина Дзитоева — Красное сухое</t>
        </is>
      </c>
      <c r="S5" s="3" t="n">
        <v>0.9998933076858521</v>
      </c>
      <c r="T5" s="3" t="n">
        <v>7.484385423595086e-05</v>
      </c>
      <c r="U5" t="n">
        <v>548.8</v>
      </c>
    </row>
    <row r="6">
      <c r="A6" t="inlineStr">
        <is>
          <t>68.81_05-09-2026_15-46-31.webp</t>
        </is>
      </c>
      <c r="B6" t="inlineStr">
        <is>
          <t>нет в каталоге</t>
        </is>
      </c>
      <c r="F6" t="inlineStr">
        <is>
          <t>fanagoriya-velvet-season-muskat-ottonel-beloe-sladkoe-13</t>
        </is>
      </c>
      <c r="G6" t="inlineStr">
        <is>
          <t>fanagoriya-velvet-season-risling-beloe-sladkoe-12</t>
        </is>
      </c>
      <c r="H6" t="inlineStr">
        <is>
          <t>vinodelnya-myshako-muskat-avtorskaya-tehnologiya-mono-beloe-suhoe-128</t>
        </is>
      </c>
      <c r="I6" t="inlineStr">
        <is>
          <t>soyuz-vino-soyuz-vino-muskat-beloe-polusladkoe-11</t>
        </is>
      </c>
      <c r="J6" t="inlineStr">
        <is>
          <t>valeriy-zaharin-muskat-valeriy-zaharin-muskat-ottonel-beloe-polusladkoe-12</t>
        </is>
      </c>
      <c r="K6">
        <f>IF(C6="","",IFERROR(MATCH(C6,F6:J6,0),"нет"))</f>
        <v/>
      </c>
      <c r="L6">
        <f>IF(C6="","",IF(K6=1,1,0))</f>
        <v/>
      </c>
      <c r="M6">
        <f>IF(C6="","",IF(ISNUMBER(K6),1,0))</f>
        <v/>
      </c>
      <c r="N6" t="inlineStr">
        <is>
          <t>Velvet Season — Фанагория — Белое сладкое</t>
        </is>
      </c>
      <c r="O6" t="inlineStr">
        <is>
          <t>Velvet Season — Фанагория — Белое сладкое</t>
        </is>
      </c>
      <c r="P6" t="inlineStr">
        <is>
          <t>Мускат. Авторская технология. Моно — Мысхако — Белое сухое</t>
        </is>
      </c>
      <c r="Q6" t="inlineStr">
        <is>
          <t>Союз-Вино Мускат — Союз-Вино — Белое полусладкое</t>
        </is>
      </c>
      <c r="R6" t="inlineStr">
        <is>
          <t>Мускат. Валерий Захарьин — Валерий Захарьин — Белое полусладкое</t>
        </is>
      </c>
      <c r="S6" s="3" t="n">
        <v>0.9999958276748657</v>
      </c>
      <c r="T6" s="3" t="n">
        <v>3.726637714862591e-06</v>
      </c>
      <c r="U6" t="n">
        <v>565.3</v>
      </c>
    </row>
    <row r="7">
      <c r="A7" t="inlineStr">
        <is>
          <t>70.45_04-09-2026_13-35-37.webp</t>
        </is>
      </c>
      <c r="B7" t="inlineStr">
        <is>
          <t>не уверен</t>
        </is>
      </c>
      <c r="C7" t="inlineStr">
        <is>
          <t>fanagoriya-formula-q-kaberne-sovinon-krasnoe-suhoe-135</t>
        </is>
      </c>
      <c r="D7" t="inlineStr">
        <is>
          <t>Формула Q — Фанагория — Красное сухое</t>
        </is>
      </c>
      <c r="E7" t="inlineStr">
        <is>
          <t>на фото слишком яркая этикетка, в каталоге более темная</t>
        </is>
      </c>
      <c r="F7" t="inlineStr">
        <is>
          <t>fanagoriya-formula-q-saperavi-krasnoe-suhoe-135</t>
        </is>
      </c>
      <c r="G7" t="inlineStr">
        <is>
          <t>fanagoriya-formula-q-kaberne-sovinon-krasnoe-suhoe-135</t>
        </is>
      </c>
      <c r="H7" t="inlineStr">
        <is>
          <t>fanagoriya-q-bordeaux-blend-kaberne-sovinon-krasnoe-suhoe-135</t>
        </is>
      </c>
      <c r="I7" t="inlineStr">
        <is>
          <t>fanagoriya-q-blanc-sovinon-blan-beloe-suhoe-14</t>
        </is>
      </c>
      <c r="J7" t="inlineStr">
        <is>
          <t>fanagoriya-beloe-polusladkoe</t>
        </is>
      </c>
      <c r="K7">
        <f>IF(C7="","",IFERROR(MATCH(C7,F7:J7,0),"нет"))</f>
        <v/>
      </c>
      <c r="L7">
        <f>IF(C7="","",IF(K7=1,1,0))</f>
        <v/>
      </c>
      <c r="M7">
        <f>IF(C7="","",IF(ISNUMBER(K7),1,0))</f>
        <v/>
      </c>
      <c r="N7" t="inlineStr">
        <is>
          <t>Formula Q — Фанагория — Красное сухое</t>
        </is>
      </c>
      <c r="O7" t="inlineStr">
        <is>
          <t>Формула Q — Фанагория — Красное сухое</t>
        </is>
      </c>
      <c r="P7" t="inlineStr">
        <is>
          <t>Q Bordeaux Blend — Фанагория — Красное сухое</t>
        </is>
      </c>
      <c r="Q7" t="inlineStr">
        <is>
          <t>Q Blanc — Фанагория — Белое сухое</t>
        </is>
      </c>
      <c r="R7" t="inlineStr">
        <is>
          <t>Фанагория белое полусладкое — Фанагория — Белое полусладкое</t>
        </is>
      </c>
      <c r="S7" s="3" t="n">
        <v>0.9999992847442627</v>
      </c>
      <c r="T7" s="3" t="n">
        <v>2.102432290485012e-07</v>
      </c>
      <c r="U7" t="n">
        <v>567.6</v>
      </c>
    </row>
    <row r="8">
      <c r="A8" t="inlineStr">
        <is>
          <t>72.97_09-09-2026_19-38-57.webp</t>
        </is>
      </c>
      <c r="B8" t="inlineStr">
        <is>
          <t>нет в каталоге</t>
        </is>
      </c>
      <c r="F8" t="inlineStr">
        <is>
          <t>shato-pino-sovinon-blan-semilon-beloe-suhoe-115</t>
        </is>
      </c>
      <c r="G8" t="inlineStr">
        <is>
          <t>shato-pino-grand-reserve-chardonnay-shardone-beloe-suhoe-125</t>
        </is>
      </c>
      <c r="H8" t="inlineStr">
        <is>
          <t>shato-pino-marselan-merlo-krasnoe-suhoe-13</t>
        </is>
      </c>
      <c r="I8" t="inlineStr">
        <is>
          <t>shato-pino-grand-reserve-pinot-noir-pino-nuar-krasnoe-suhoe-135</t>
        </is>
      </c>
      <c r="J8" t="inlineStr">
        <is>
          <t>shato-pino-gravitatsiya-kaberne-sovinon-merlo-krasnoe-suhoe-135</t>
        </is>
      </c>
      <c r="K8">
        <f>IF(C8="","",IFERROR(MATCH(C8,F8:J8,0),"нет"))</f>
        <v/>
      </c>
      <c r="L8">
        <f>IF(C8="","",IF(K8=1,1,0))</f>
        <v/>
      </c>
      <c r="M8">
        <f>IF(C8="","",IF(ISNUMBER(K8),1,0))</f>
        <v/>
      </c>
      <c r="N8" t="inlineStr">
        <is>
          <t>Совиньон Блан - Семильон — Шато Пино — Белое сухое</t>
        </is>
      </c>
      <c r="O8" t="inlineStr">
        <is>
          <t>Grand Reserve Chardonnay — Шато Пино — Белое сухое</t>
        </is>
      </c>
      <c r="P8" t="inlineStr">
        <is>
          <t>Марселан - Мерло — Шато Пино — Красное сухое</t>
        </is>
      </c>
      <c r="Q8" t="inlineStr">
        <is>
          <t>Grand Reserve Pinot Noir — Шато Пино — Красное сухое</t>
        </is>
      </c>
      <c r="R8" t="inlineStr">
        <is>
          <t>Гравитация. Каберне Совиньон - Мерло — Шато Пино — Красное сухое</t>
        </is>
      </c>
      <c r="S8" s="3" t="n">
        <v>0.9559407830238342</v>
      </c>
      <c r="T8" s="3" t="n">
        <v>0.03271049633622169</v>
      </c>
      <c r="U8" t="n">
        <v>531.2</v>
      </c>
    </row>
    <row r="9">
      <c r="A9" t="inlineStr">
        <is>
          <t>82.33_27-08-2026_10-03-52.webp</t>
        </is>
      </c>
      <c r="B9" t="inlineStr">
        <is>
          <t>уверенно</t>
        </is>
      </c>
      <c r="C9" t="inlineStr">
        <is>
          <t>skalistyj-bereg-shepot-czvetov</t>
        </is>
      </c>
      <c r="D9" t="inlineStr">
        <is>
          <t>Скалистый берег Шепот цветов — Скалистый берег — Белое сухое</t>
        </is>
      </c>
      <c r="F9" t="inlineStr">
        <is>
          <t>skalistyj-bereg-shepot-czvetov</t>
        </is>
      </c>
      <c r="G9" t="inlineStr">
        <is>
          <t>skalistyy-bereg-melodiya-leta-krasnostop-zolotovskiy-rozovoe-suhoe-126</t>
        </is>
      </c>
      <c r="H9" t="inlineStr">
        <is>
          <t>skalistyy-bereg-dyhanie-voln-shardone-beloe-suhoe-121</t>
        </is>
      </c>
      <c r="I9" t="inlineStr">
        <is>
          <t>vysokij-bereg-czvajgelt</t>
        </is>
      </c>
      <c r="J9" t="inlineStr">
        <is>
          <t>kuban-vino-vysokiy-bereg-grafit-roze-kaberne-sovinon-rozovoe-suhoe-12</t>
        </is>
      </c>
      <c r="K9">
        <f>IF(C9="","",IFERROR(MATCH(C9,F9:J9,0),"нет"))</f>
        <v/>
      </c>
      <c r="L9">
        <f>IF(C9="","",IF(K9=1,1,0))</f>
        <v/>
      </c>
      <c r="M9">
        <f>IF(C9="","",IF(ISNUMBER(K9),1,0))</f>
        <v/>
      </c>
      <c r="N9" t="inlineStr">
        <is>
          <t>Скалистый берег Шепот цветов — Скалистый берег — Белое сухое</t>
        </is>
      </c>
      <c r="O9" t="inlineStr">
        <is>
          <t>Мелодия лета — Скалистый берег — Розовое сухое</t>
        </is>
      </c>
      <c r="P9" t="inlineStr">
        <is>
          <t>Дыхание волн — Скалистый берег — Белое сухое</t>
        </is>
      </c>
      <c r="Q9" t="inlineStr">
        <is>
          <t>Высокий Берег Цвайгельт — Кубань-Вино — Розовое сухое</t>
        </is>
      </c>
      <c r="R9" t="inlineStr">
        <is>
          <t>Высокий Берег Графит Розе — Кубань-Вино — Розовое сухое</t>
        </is>
      </c>
      <c r="S9" s="3" t="n">
        <v>0.9999959468841553</v>
      </c>
      <c r="T9" s="3" t="n">
        <v>3.466313671651733e-07</v>
      </c>
      <c r="U9" t="n">
        <v>575.3</v>
      </c>
    </row>
    <row r="10">
      <c r="A10" t="inlineStr">
        <is>
          <t>84.73_07-09-2026_11-07-51.webp</t>
        </is>
      </c>
      <c r="B10" t="inlineStr">
        <is>
          <t>уверенно</t>
        </is>
      </c>
      <c r="C10" t="inlineStr">
        <is>
          <t>zhemchuzhnaya-9-aligote-czitron</t>
        </is>
      </c>
      <c r="D10" t="inlineStr">
        <is>
          <t>Жемчужная 9 Алиготе, Цитрон — АРАТТИ — Белое сухое</t>
        </is>
      </c>
      <c r="F10" t="inlineStr">
        <is>
          <t>zhemchuzhnaya-9-aligote-czitron</t>
        </is>
      </c>
      <c r="G10" t="inlineStr">
        <is>
          <t>zhemchuzhnaya-9-czitron-shardone</t>
        </is>
      </c>
      <c r="H10" t="inlineStr">
        <is>
          <t>zhemchuzhnaya-9-sovinon-blan-aligote</t>
        </is>
      </c>
      <c r="I10" t="inlineStr">
        <is>
          <t>zhemchuzhnaya-9-czitron-shardone-1</t>
        </is>
      </c>
      <c r="J10" t="inlineStr">
        <is>
          <t>czitronnyj-magaracha-sovinon-blan</t>
        </is>
      </c>
      <c r="K10">
        <f>IF(C10="","",IFERROR(MATCH(C10,F10:J10,0),"нет"))</f>
        <v/>
      </c>
      <c r="L10">
        <f>IF(C10="","",IF(K10=1,1,0))</f>
        <v/>
      </c>
      <c r="M10">
        <f>IF(C10="","",IF(ISNUMBER(K10),1,0))</f>
        <v/>
      </c>
      <c r="N10" t="inlineStr">
        <is>
          <t>Жемчужная 9 Алиготе, Цитрон — АРАТТИ — Белое сухое</t>
        </is>
      </c>
      <c r="O10" t="inlineStr">
        <is>
          <t>Жемчужная 9 Цитрон, Шардоне — АРАТТИ — Белое сухое</t>
        </is>
      </c>
      <c r="P10" t="inlineStr">
        <is>
          <t>Жемчужная 9 Совиньон блан, Алиготе — АРАТТИ — Белое сухое</t>
        </is>
      </c>
      <c r="Q10" t="inlineStr">
        <is>
          <t>Жемчужная 9 Цитрон, Шардоне — АРАТТИ — Белое полусладкое</t>
        </is>
      </c>
      <c r="R10" t="inlineStr">
        <is>
          <t>Жемчужная 9 Цитрон, Совиньон блан — АРАТТИ — Белое полусухое</t>
        </is>
      </c>
      <c r="S10" s="3" t="n">
        <v>0.9999997615814209</v>
      </c>
      <c r="T10" s="3" t="n">
        <v>6.023572751701067e-08</v>
      </c>
      <c r="U10" t="n">
        <v>585.1</v>
      </c>
    </row>
    <row r="11">
      <c r="A11" t="inlineStr">
        <is>
          <t>87.09_22-08-2026_20-57-16.webp</t>
        </is>
      </c>
      <c r="B11" t="inlineStr">
        <is>
          <t>уверенно</t>
        </is>
      </c>
      <c r="C11" t="inlineStr">
        <is>
          <t>pobeda</t>
        </is>
      </c>
      <c r="D11" t="inlineStr">
        <is>
          <t>Победа — Табия — Красное сухое</t>
        </is>
      </c>
      <c r="F11" t="inlineStr">
        <is>
          <t>pobeda</t>
        </is>
      </c>
      <c r="G11" t="inlineStr">
        <is>
          <t>rubin-golodrigi</t>
        </is>
      </c>
      <c r="H11" t="inlineStr">
        <is>
          <t>vinodelnya-begildeeva-kaberne-sovinon-krasnoe-suhoe-14</t>
        </is>
      </c>
      <c r="I11" t="inlineStr">
        <is>
          <t>kaberne-sovinon-2</t>
        </is>
      </c>
      <c r="J11" t="inlineStr">
        <is>
          <t>bukovinka</t>
        </is>
      </c>
      <c r="K11">
        <f>IF(C11="","",IFERROR(MATCH(C11,F11:J11,0),"нет"))</f>
        <v/>
      </c>
      <c r="L11">
        <f>IF(C11="","",IF(K11=1,1,0))</f>
        <v/>
      </c>
      <c r="M11">
        <f>IF(C11="","",IF(ISNUMBER(K11),1,0))</f>
        <v/>
      </c>
      <c r="N11" t="inlineStr">
        <is>
          <t>Победа — Табия — Красное сухое</t>
        </is>
      </c>
      <c r="O11" t="inlineStr">
        <is>
          <t>Рубин Голодриги  — Табия — Красное сухое</t>
        </is>
      </c>
      <c r="P11" t="inlineStr">
        <is>
          <t>Каберне Совиньон — Винодельня Бегильдеева — Красное сухое</t>
        </is>
      </c>
      <c r="Q11" t="inlineStr">
        <is>
          <t>Каберне Совиньон — Табия — Красное сухое</t>
        </is>
      </c>
      <c r="R11" t="inlineStr">
        <is>
          <t>Буковинка — Табия — Белое полусухое</t>
        </is>
      </c>
      <c r="S11" s="3" t="n">
        <v>0.9999997615814209</v>
      </c>
      <c r="T11" s="3" t="n">
        <v>1.444980028963982e-07</v>
      </c>
      <c r="U11" t="n">
        <v>577.9</v>
      </c>
    </row>
    <row r="12">
      <c r="A12" t="inlineStr">
        <is>
          <t>87.54_03-09-2026_13-27-53.webp</t>
        </is>
      </c>
      <c r="B12" t="inlineStr">
        <is>
          <t>уверенно</t>
        </is>
      </c>
      <c r="C12" t="inlineStr">
        <is>
          <t>relikta-relikta-sira-kaberne-fran-krasnoe-suhoe-13</t>
        </is>
      </c>
      <c r="D12" t="inlineStr">
        <is>
          <t>Реликта Сира, Каберне Фран — Реликта — Красное сухое</t>
        </is>
      </c>
      <c r="F12" t="inlineStr">
        <is>
          <t>relikta-relikta-sira-kaberne-fran-krasnoe-suhoe-13</t>
        </is>
      </c>
      <c r="G12" t="inlineStr">
        <is>
          <t>relikta-relikta-sira-krasnoe-suhoe-13</t>
        </is>
      </c>
      <c r="H12" t="inlineStr">
        <is>
          <t>relikta-relikta-merlo-kaberne-sovinon-krasnoe-suhoe-135</t>
        </is>
      </c>
      <c r="I12" t="inlineStr">
        <is>
          <t>relikta-relikta-kaberne-sovinon-krasnoe-suhoe-135</t>
        </is>
      </c>
      <c r="J12" t="inlineStr">
        <is>
          <t>relikta-relikta-merlo-krasnoe-suhoe-135</t>
        </is>
      </c>
      <c r="K12">
        <f>IF(C12="","",IFERROR(MATCH(C12,F12:J12,0),"нет"))</f>
        <v/>
      </c>
      <c r="L12">
        <f>IF(C12="","",IF(K12=1,1,0))</f>
        <v/>
      </c>
      <c r="M12">
        <f>IF(C12="","",IF(ISNUMBER(K12),1,0))</f>
        <v/>
      </c>
      <c r="N12" t="inlineStr">
        <is>
          <t>Реликта Сира, Каберне Фран — Реликта — Красное сухое</t>
        </is>
      </c>
      <c r="O12" t="inlineStr">
        <is>
          <t>Реликта Сира — Реликта — Красное сухое</t>
        </is>
      </c>
      <c r="P12" t="inlineStr">
        <is>
          <t>Реликта Мерло, Каберне Совиньон — Реликта — Красное сухое</t>
        </is>
      </c>
      <c r="Q12" t="inlineStr">
        <is>
          <t>Реликта Каберне Совиньон — Реликта — Красное сухое</t>
        </is>
      </c>
      <c r="R12" t="inlineStr">
        <is>
          <t>Реликта Мерло — Реликта — Красное сухое</t>
        </is>
      </c>
      <c r="S12" s="3" t="n">
        <v>0.9999992847442627</v>
      </c>
      <c r="T12" s="3" t="n">
        <v>7.734416129778765e-08</v>
      </c>
      <c r="U12" t="n">
        <v>570.4</v>
      </c>
    </row>
    <row r="13">
      <c r="A13" t="inlineStr">
        <is>
          <t>87.6_20-08-2026_19-56-56.webp</t>
        </is>
      </c>
      <c r="B13" t="inlineStr">
        <is>
          <t>не уверен</t>
        </is>
      </c>
      <c r="C13" t="inlineStr">
        <is>
          <t>leto-shardone-2023-suhoe-beloe</t>
        </is>
      </c>
      <c r="D13" t="inlineStr">
        <is>
          <t>LETO Шардоне 2023 сухое белое — LETO — Белое сухое</t>
        </is>
      </c>
      <c r="E13" t="inlineStr">
        <is>
          <t>есть такое, но на фото черная этикетка вместо белой</t>
        </is>
      </c>
      <c r="F13" t="inlineStr">
        <is>
          <t>vinodelnya-uzunov-shardone-rezerv-beloe-suhoe-135</t>
        </is>
      </c>
      <c r="G13" t="inlineStr">
        <is>
          <t>vinodelnya-konstantina-dzitoeva-kd-shardone-beloe-suhoe-128</t>
        </is>
      </c>
      <c r="H13" t="inlineStr">
        <is>
          <t>shardone-rezerv</t>
        </is>
      </c>
      <c r="I13" t="inlineStr">
        <is>
          <t>vinodelnya-uzunov-rash-rezerv-risling-reynskiy-beloe-suhoe-127</t>
        </is>
      </c>
      <c r="J13" t="inlineStr">
        <is>
          <t>vinodelnya-myshako-shardone-avtorskaya-tehnologiya-beloe-suhoe-155</t>
        </is>
      </c>
      <c r="K13">
        <f>IF(C13="","",IFERROR(MATCH(C13,F13:J13,0),"нет"))</f>
        <v/>
      </c>
      <c r="L13">
        <f>IF(C13="","",IF(K13=1,1,0))</f>
        <v/>
      </c>
      <c r="M13">
        <f>IF(C13="","",IF(ISNUMBER(K13),1,0))</f>
        <v/>
      </c>
      <c r="N13" t="inlineStr">
        <is>
          <t>Шардоне Резерв — Винодельня Узунов — Белое сухое</t>
        </is>
      </c>
      <c r="O13" t="inlineStr">
        <is>
          <t>KD Шардоне — Винодельня Константина Дзитоева — Белое сухое</t>
        </is>
      </c>
      <c r="P13" t="inlineStr">
        <is>
          <t>Шардоне Резерв — Усадьба Перовских — Белое сухое</t>
        </is>
      </c>
      <c r="Q13" t="inlineStr">
        <is>
          <t>РАШ Резерв — Винодельня Узунов — Белое сухое</t>
        </is>
      </c>
      <c r="R13" t="inlineStr">
        <is>
          <t>Шардоне авторская технология — Мысхако — Белое сухое</t>
        </is>
      </c>
      <c r="S13" s="3" t="n">
        <v>0.999991774559021</v>
      </c>
      <c r="T13" s="3" t="n">
        <v>2.382350032803515e-07</v>
      </c>
      <c r="U13" t="n">
        <v>540.6</v>
      </c>
    </row>
    <row r="14">
      <c r="A14" t="inlineStr">
        <is>
          <t>87.81_09-09-2026_17-16-36.webp</t>
        </is>
      </c>
      <c r="B14" t="inlineStr">
        <is>
          <t>не уверен</t>
        </is>
      </c>
      <c r="C14" t="inlineStr">
        <is>
          <t>aya-organic-wine-vineyards-purity-in-chenin-blanc-shenen-blan-beloe-suhoe-11</t>
        </is>
      </c>
      <c r="D14" t="inlineStr">
        <is>
          <t>Purity in Chenin Blanc — AYA Organic Wine &amp; Vineyards — Белое сухое</t>
        </is>
      </c>
      <c r="E14" t="inlineStr">
        <is>
          <t>есть похожее, но в названии вместо in balance написано in-chenin-blanc</t>
        </is>
      </c>
      <c r="F14" t="inlineStr">
        <is>
          <t>aya-organic-wine-vineyards-purity-in-syrah-sira-rozovoe-suhoe-132</t>
        </is>
      </c>
      <c r="G14" t="inlineStr">
        <is>
          <t>aya-organic-wine-vineyards-purity-in-trinity-pino-nuar-rozovoe-suhoe-13</t>
        </is>
      </c>
      <c r="H14" t="inlineStr">
        <is>
          <t>aya-organic-wine-vineyards-purity-in-merlot-merlo-rozovoe-suhoe-134</t>
        </is>
      </c>
      <c r="I14" t="inlineStr">
        <is>
          <t>aya-organic-wine-vineyards-purity-in-syrah-sira-krasnoe-suhoe-146</t>
        </is>
      </c>
      <c r="J14" t="inlineStr">
        <is>
          <t>aya-organic-wine-vineyards-purity-in-chenin-blanc-shenen-blan-beloe-suhoe-11</t>
        </is>
      </c>
      <c r="K14">
        <f>IF(C14="","",IFERROR(MATCH(C14,F14:J14,0),"нет"))</f>
        <v/>
      </c>
      <c r="L14">
        <f>IF(C14="","",IF(K14=1,1,0))</f>
        <v/>
      </c>
      <c r="M14">
        <f>IF(C14="","",IF(ISNUMBER(K14),1,0))</f>
        <v/>
      </c>
      <c r="N14" t="inlineStr">
        <is>
          <t>Purity in Syrah — AYA Organic Wine &amp; Vineyards — Розовое сухое</t>
        </is>
      </c>
      <c r="O14" t="inlineStr">
        <is>
          <t>Purity in Trinity — AYA Organic Wine &amp; Vineyards — Розовое сухое</t>
        </is>
      </c>
      <c r="P14" t="inlineStr">
        <is>
          <t>Purity in Merlot — AYA Organic Wine &amp; Vineyards — Розовое сухое</t>
        </is>
      </c>
      <c r="Q14" t="inlineStr">
        <is>
          <t>Purity in Syrah — AYA Organic Wine &amp; Vineyards — Красное сухое</t>
        </is>
      </c>
      <c r="R14" t="inlineStr">
        <is>
          <t>Purity in Chenin Blanc — AYA Organic Wine &amp; Vineyards — Белое сухое</t>
        </is>
      </c>
      <c r="S14" s="3" t="n">
        <v>0.9973592162132263</v>
      </c>
      <c r="T14" s="3" t="n">
        <v>0.001925356336869299</v>
      </c>
      <c r="U14" t="n">
        <v>543.3</v>
      </c>
    </row>
    <row r="15">
      <c r="A15" t="inlineStr">
        <is>
          <t>87.88_28-08-2026_16-56-20.webp</t>
        </is>
      </c>
      <c r="B15" t="inlineStr">
        <is>
          <t>не уверен</t>
        </is>
      </c>
      <c r="C15" t="inlineStr">
        <is>
          <t>massandra-muskatel-belyy-belye-sorta-vinograda-beloe-sladkoe-16</t>
        </is>
      </c>
      <c r="D15" t="inlineStr">
        <is>
          <t>Мускатель белый — Массандра — Белое сладкое</t>
        </is>
      </c>
      <c r="E15" t="inlineStr">
        <is>
          <t>есть такое, но год урожая отличается</t>
        </is>
      </c>
      <c r="F15" t="inlineStr">
        <is>
          <t>massandra-muskat-belyy-krasnogo-kamnya-beloe-sladkoe-13</t>
        </is>
      </c>
      <c r="G15" t="inlineStr">
        <is>
          <t>massandra-muskatel-belyy-belye-sorta-vinograda-beloe-sladkoe-16</t>
        </is>
      </c>
      <c r="H15" t="inlineStr">
        <is>
          <t>massandra-muskat-belyy-yuzhnoberezhnyy-beloe-sladkoe-16</t>
        </is>
      </c>
      <c r="I15" t="inlineStr">
        <is>
          <t>massandra-muskatel-rozovyy-belye-sorta-vinograda-rozovoe-sladkoe-16</t>
        </is>
      </c>
      <c r="J15" t="inlineStr">
        <is>
          <t>massandra-muskatel-chernyy-krasnye-sorta-vinograda-krasnoe-sladkoe-16</t>
        </is>
      </c>
      <c r="K15">
        <f>IF(C15="","",IFERROR(MATCH(C15,F15:J15,0),"нет"))</f>
        <v/>
      </c>
      <c r="L15">
        <f>IF(C15="","",IF(K15=1,1,0))</f>
        <v/>
      </c>
      <c r="M15">
        <f>IF(C15="","",IF(ISNUMBER(K15),1,0))</f>
        <v/>
      </c>
      <c r="N15" t="inlineStr">
        <is>
          <t>Мускат белый красного камня — Массандра — Белое сладкое</t>
        </is>
      </c>
      <c r="O15" t="inlineStr">
        <is>
          <t>Мускатель белый — Массандра — Белое сладкое</t>
        </is>
      </c>
      <c r="P15" t="inlineStr">
        <is>
          <t>Мускат Белый Южнобережный — Массандра — Белое сладкое</t>
        </is>
      </c>
      <c r="Q15" t="inlineStr">
        <is>
          <t>Мускатель розовый — Массандра — Розовое сладкое</t>
        </is>
      </c>
      <c r="R15" t="inlineStr">
        <is>
          <t>Мускатель черный — Массандра — Красное сладкое</t>
        </is>
      </c>
      <c r="S15" s="3" t="n">
        <v>0.9398501515388489</v>
      </c>
      <c r="T15" s="3" t="n">
        <v>2.015547033806797e-05</v>
      </c>
      <c r="U15" t="n">
        <v>549.2</v>
      </c>
    </row>
    <row r="16">
      <c r="A16" t="inlineStr">
        <is>
          <t>88.2_05-09-2026_16-29-06.webp</t>
        </is>
      </c>
      <c r="B16" t="inlineStr">
        <is>
          <t>нет в каталоге</t>
        </is>
      </c>
      <c r="F16" t="inlineStr">
        <is>
          <t>inkerman-shato-ruzh</t>
        </is>
      </c>
      <c r="G16" t="inlineStr">
        <is>
          <t>vinodelnya-begildeeva-kaberne-sovinon-krasnoe-suhoe-14</t>
        </is>
      </c>
      <c r="H16" t="inlineStr">
        <is>
          <t>kuban-vino-kaberne-de-tamane-kaberne-sovinon-krasnoe-suhoe-125</t>
        </is>
      </c>
      <c r="I16" t="inlineStr">
        <is>
          <t>inkermanskiy-zmv-winemakers-selection-saperavi-krasnoe-polusladkoe-12</t>
        </is>
      </c>
      <c r="J16" t="inlineStr">
        <is>
          <t>inkerman-shato-blan</t>
        </is>
      </c>
      <c r="K16">
        <f>IF(C16="","",IFERROR(MATCH(C16,F16:J16,0),"нет"))</f>
        <v/>
      </c>
      <c r="L16">
        <f>IF(C16="","",IF(K16=1,1,0))</f>
        <v/>
      </c>
      <c r="M16">
        <f>IF(C16="","",IF(ISNUMBER(K16),1,0))</f>
        <v/>
      </c>
      <c r="N16" t="inlineStr">
        <is>
          <t>Inkerman Шато Руж — Инкерманский ЗМВ — Красное полусухое</t>
        </is>
      </c>
      <c r="O16" t="inlineStr">
        <is>
          <t>Каберне Совиньон — Винодельня Бегильдеева — Красное сухое</t>
        </is>
      </c>
      <c r="P16" t="inlineStr">
        <is>
          <t>Каберне де Тамань — Кубань-Вино — Красное сухое</t>
        </is>
      </c>
      <c r="Q16" t="inlineStr">
        <is>
          <t>Winemaker's Selection Саперави — Инкерманский ЗМВ — Красное полусладкое</t>
        </is>
      </c>
      <c r="R16" t="inlineStr">
        <is>
          <t>Инкерман Шато Блан — Инкерманский ЗМВ — Белое полусухое</t>
        </is>
      </c>
      <c r="S16" s="3" t="n">
        <v>0.9939642548561096</v>
      </c>
      <c r="T16" s="3" t="n">
        <v>9.553154814057052e-05</v>
      </c>
      <c r="U16" t="n">
        <v>556.5</v>
      </c>
    </row>
    <row r="17">
      <c r="A17" t="inlineStr">
        <is>
          <t>88.38_20-08-2026_18-32-58.webp</t>
        </is>
      </c>
      <c r="B17" t="inlineStr">
        <is>
          <t>уверенно</t>
        </is>
      </c>
      <c r="C17" t="inlineStr">
        <is>
          <t>czitronnyj-magaracha-sovinon-blan</t>
        </is>
      </c>
      <c r="D17" t="inlineStr">
        <is>
          <t>Жемчужная 9 Цитрон, Совиньон блан — АРАТТИ — Белое полусухое</t>
        </is>
      </c>
      <c r="F17" t="inlineStr">
        <is>
          <t>czitronnyj-magaracha-sovinon-blan</t>
        </is>
      </c>
      <c r="G17" t="inlineStr">
        <is>
          <t>zhemchuzhnaya-9-risling-sovinon-blan</t>
        </is>
      </c>
      <c r="H17" t="inlineStr">
        <is>
          <t>zhemchuzhnaya-9-czitron-shardone</t>
        </is>
      </c>
      <c r="I17" t="inlineStr">
        <is>
          <t>zhemchuzhnaya-9-aligote-czitron</t>
        </is>
      </c>
      <c r="J17" t="inlineStr">
        <is>
          <t>zhemchuzhnaya-9-czitron-shardone-1</t>
        </is>
      </c>
      <c r="K17">
        <f>IF(C17="","",IFERROR(MATCH(C17,F17:J17,0),"нет"))</f>
        <v/>
      </c>
      <c r="L17">
        <f>IF(C17="","",IF(K17=1,1,0))</f>
        <v/>
      </c>
      <c r="M17">
        <f>IF(C17="","",IF(ISNUMBER(K17),1,0))</f>
        <v/>
      </c>
      <c r="N17" t="inlineStr">
        <is>
          <t>Жемчужная 9 Цитрон, Совиньон блан — АРАТТИ — Белое полусухое</t>
        </is>
      </c>
      <c r="O17" t="inlineStr">
        <is>
          <t>Жемчужная 9 Рислинг,Совиньон блан — АРАТТИ — Белое полусухое</t>
        </is>
      </c>
      <c r="P17" t="inlineStr">
        <is>
          <t>Жемчужная 9 Цитрон, Шардоне — АРАТТИ — Белое сухое</t>
        </is>
      </c>
      <c r="Q17" t="inlineStr">
        <is>
          <t>Жемчужная 9 Алиготе, Цитрон — АРАТТИ — Белое сухое</t>
        </is>
      </c>
      <c r="R17" t="inlineStr">
        <is>
          <t>Жемчужная 9 Цитрон, Шардоне — АРАТТИ — Белое полусладкое</t>
        </is>
      </c>
      <c r="S17" s="3" t="n">
        <v>0.9999998807907104</v>
      </c>
      <c r="T17" s="3" t="n">
        <v>4.139937459513021e-08</v>
      </c>
      <c r="U17" t="n">
        <v>560.5</v>
      </c>
    </row>
    <row r="18">
      <c r="A18" t="inlineStr">
        <is>
          <t>89.65_19-08-2026_19-48-39.webp</t>
        </is>
      </c>
      <c r="B18" t="inlineStr">
        <is>
          <t>уверенно</t>
        </is>
      </c>
      <c r="C18" t="inlineStr">
        <is>
          <t>rozovoe-zoloto</t>
        </is>
      </c>
      <c r="D18" t="inlineStr">
        <is>
          <t>Розовое золото — Табия — Розовое полусухое</t>
        </is>
      </c>
      <c r="F18" t="inlineStr">
        <is>
          <t>rozovoe-zoloto</t>
        </is>
      </c>
      <c r="G18" t="inlineStr">
        <is>
          <t>roze-2</t>
        </is>
      </c>
      <c r="H18" t="inlineStr">
        <is>
          <t>bukovinka</t>
        </is>
      </c>
      <c r="I18" t="inlineStr">
        <is>
          <t>rozovaya-pantera</t>
        </is>
      </c>
      <c r="J18" t="inlineStr">
        <is>
          <t>rubin-golodrigi</t>
        </is>
      </c>
      <c r="K18">
        <f>IF(C18="","",IFERROR(MATCH(C18,F18:J18,0),"нет"))</f>
        <v/>
      </c>
      <c r="L18">
        <f>IF(C18="","",IF(K18=1,1,0))</f>
        <v/>
      </c>
      <c r="M18">
        <f>IF(C18="","",IF(ISNUMBER(K18),1,0))</f>
        <v/>
      </c>
      <c r="N18" t="inlineStr">
        <is>
          <t>Розовое золото — Табия — Розовое полусухое</t>
        </is>
      </c>
      <c r="O18" t="inlineStr">
        <is>
          <t>Розе — Табия — Розовое сухое</t>
        </is>
      </c>
      <c r="P18" t="inlineStr">
        <is>
          <t>Буковинка — Табия — Белое полусухое</t>
        </is>
      </c>
      <c r="Q18" t="inlineStr">
        <is>
          <t>Розовая Пантера полусладкое розовое — АРАТТИ — Розовое полусладкое</t>
        </is>
      </c>
      <c r="R18" t="inlineStr">
        <is>
          <t>Рубин Голодриги  — Табия — Красное сухое</t>
        </is>
      </c>
      <c r="S18" s="3" t="n">
        <v>0.9999938011169434</v>
      </c>
      <c r="T18" s="3" t="n">
        <v>7.338169893955637e-07</v>
      </c>
      <c r="U18" t="n">
        <v>539.4</v>
      </c>
    </row>
    <row r="19">
      <c r="A19" t="inlineStr">
        <is>
          <t>90.5_02-09-2026_10-32-11.webp</t>
        </is>
      </c>
      <c r="B19" t="inlineStr">
        <is>
          <t>нет в каталоге</t>
        </is>
      </c>
      <c r="F19" t="inlineStr">
        <is>
          <t>inkermanskiy-zmv-inkerman-polusladkoe-roze-aligote-rozovoe-135</t>
        </is>
      </c>
      <c r="G19" t="inlineStr">
        <is>
          <t>inkermanskiy-zmv-inkerman-rozovoe-polusladkoe-rkatsiteli-12</t>
        </is>
      </c>
      <c r="H19" t="inlineStr">
        <is>
          <t>inkerman-muskatnoe-beloe</t>
        </is>
      </c>
      <c r="I19" t="inlineStr">
        <is>
          <t>inkerman-shato-blan</t>
        </is>
      </c>
      <c r="J19" t="inlineStr">
        <is>
          <t>inkerman-shato-ruzh</t>
        </is>
      </c>
      <c r="K19">
        <f>IF(C19="","",IFERROR(MATCH(C19,F19:J19,0),"нет"))</f>
        <v/>
      </c>
      <c r="L19">
        <f>IF(C19="","",IF(K19=1,1,0))</f>
        <v/>
      </c>
      <c r="M19">
        <f>IF(C19="","",IF(ISNUMBER(K19),1,0))</f>
        <v/>
      </c>
      <c r="N19" t="inlineStr">
        <is>
          <t>Inkerman полусладкое розе — Инкерманский ЗМВ — Розовое полусладкое</t>
        </is>
      </c>
      <c r="O19" t="inlineStr">
        <is>
          <t>Инкерман Розовое полусладкое — Инкерманский ЗМВ — Розовое полусладкое</t>
        </is>
      </c>
      <c r="P19" t="inlineStr">
        <is>
          <t>Inkerman Мускатное белое — Инкерманский ЗМВ — Белое полусладкое</t>
        </is>
      </c>
      <c r="Q19" t="inlineStr">
        <is>
          <t>Инкерман Шато Блан — Инкерманский ЗМВ — Белое полусухое</t>
        </is>
      </c>
      <c r="R19" t="inlineStr">
        <is>
          <t>Inkerman Шато Руж — Инкерманский ЗМВ — Красное полусухое</t>
        </is>
      </c>
      <c r="S19" s="3" t="n">
        <v>0.7719089388847351</v>
      </c>
      <c r="T19" s="3" t="n">
        <v>6.089840098866262e-06</v>
      </c>
      <c r="U19" t="n">
        <v>554.1</v>
      </c>
    </row>
    <row r="20">
      <c r="A20" t="inlineStr">
        <is>
          <t>91.07_20-08-2026_18-37-46.webp</t>
        </is>
      </c>
      <c r="B20" t="inlineStr">
        <is>
          <t>уверенно</t>
        </is>
      </c>
      <c r="C20" t="inlineStr">
        <is>
          <t>aratti-kaberne-sovinon-2021-krasnoe-suhoe</t>
        </is>
      </c>
      <c r="D20" t="inlineStr">
        <is>
          <t>АРАТТИ Каберне Совиньон 2021 красное сухое — АРАТТИ — Красное сухое</t>
        </is>
      </c>
      <c r="F20" t="inlineStr">
        <is>
          <t>aratti-kaberne-sovinon-2021-krasnoe-suhoe</t>
        </is>
      </c>
      <c r="G20" t="inlineStr">
        <is>
          <t>aratti-kaberne-sovinon-2020-krasnoe-suhoe</t>
        </is>
      </c>
      <c r="H20" t="inlineStr">
        <is>
          <t>aratti-kaberne-po-belomu-1</t>
        </is>
      </c>
      <c r="I20" t="inlineStr">
        <is>
          <t>aratti-kaberne-po-belomu</t>
        </is>
      </c>
      <c r="J20" t="inlineStr">
        <is>
          <t>aratti-sovinon-blan-beloe-polusuhoe</t>
        </is>
      </c>
      <c r="K20">
        <f>IF(C20="","",IFERROR(MATCH(C20,F20:J20,0),"нет"))</f>
        <v/>
      </c>
      <c r="L20">
        <f>IF(C20="","",IF(K20=1,1,0))</f>
        <v/>
      </c>
      <c r="M20">
        <f>IF(C20="","",IF(ISNUMBER(K20),1,0))</f>
        <v/>
      </c>
      <c r="N20" t="inlineStr">
        <is>
          <t>АРАТТИ Каберне Совиньон 2021 красное сухое — АРАТТИ — Красное сухое</t>
        </is>
      </c>
      <c r="O20" t="inlineStr">
        <is>
          <t>АРАТТИ Каберне Совиньон 2020 красное сухое — АРАТТИ — Красное сухое</t>
        </is>
      </c>
      <c r="P20" t="inlineStr">
        <is>
          <t>АРАТТИ Каберне по-белому — АРАТТИ — Розовое полусухое</t>
        </is>
      </c>
      <c r="Q20" t="inlineStr">
        <is>
          <t>АРАТТИ Каберне по-белому — АРАТТИ — Красное сухое</t>
        </is>
      </c>
      <c r="R20" t="inlineStr">
        <is>
          <t>АРАТТИ Совиньон блан белое полусухое — АРАТТИ — Белое полусухое</t>
        </is>
      </c>
      <c r="S20" s="3" t="n">
        <v>0.9999994039535522</v>
      </c>
      <c r="T20" s="3" t="n">
        <v>1.444979460529794e-07</v>
      </c>
      <c r="U20" t="n">
        <v>542.7</v>
      </c>
    </row>
    <row r="21">
      <c r="A21" t="inlineStr">
        <is>
          <t>91.43_02-09-2026_12-08-50.webp</t>
        </is>
      </c>
      <c r="B21" t="inlineStr">
        <is>
          <t>уверенно</t>
        </is>
      </c>
      <c r="C21" t="inlineStr">
        <is>
          <t>merlo-2</t>
        </is>
      </c>
      <c r="D21" t="inlineStr">
        <is>
          <t>Мерло — Литавщук. Litavshchuk vineyards &amp; winery — Красное сухое</t>
        </is>
      </c>
      <c r="F21" t="inlineStr">
        <is>
          <t>merlo-2</t>
        </is>
      </c>
      <c r="G21" t="inlineStr">
        <is>
          <t>vinodelnya-begildeeva-merlo-krasnoe-suhoe-14</t>
        </is>
      </c>
      <c r="H21" t="inlineStr">
        <is>
          <t>merlo</t>
        </is>
      </c>
      <c r="I21" t="inlineStr">
        <is>
          <t>vinodelnya-begildeeva-kaberne-sovinon-merlo-krasnoe-suhoe-14</t>
        </is>
      </c>
      <c r="J21" t="inlineStr">
        <is>
          <t>vinnyy-kooperativ-intuitsiya-kaberne-sovinon-merlo-saperavi-krasnoe-suhoe-128</t>
        </is>
      </c>
      <c r="K21">
        <f>IF(C21="","",IFERROR(MATCH(C21,F21:J21,0),"нет"))</f>
        <v/>
      </c>
      <c r="L21">
        <f>IF(C21="","",IF(K21=1,1,0))</f>
        <v/>
      </c>
      <c r="M21">
        <f>IF(C21="","",IF(ISNUMBER(K21),1,0))</f>
        <v/>
      </c>
      <c r="N21" t="inlineStr">
        <is>
          <t>Мерло — Литавщук. Litavshchuk vineyards &amp; winery — Красное сухое</t>
        </is>
      </c>
      <c r="O21" t="inlineStr">
        <is>
          <t>Мерло — Винодельня Бегильдеева — Красное сухое</t>
        </is>
      </c>
      <c r="P21" t="inlineStr">
        <is>
          <t>Мерло — Галицкий и Галицкий — Красное сухое</t>
        </is>
      </c>
      <c r="Q21" t="inlineStr">
        <is>
          <t>Каберне Совиньон – Мерло — Винодельня Бегильдеева — Красное сухое</t>
        </is>
      </c>
      <c r="R21" t="inlineStr">
        <is>
          <t>Каберне Совиньон - Мерло — Винный кооператив Интуиция — Красное сухое</t>
        </is>
      </c>
      <c r="S21" s="3" t="n">
        <v>0.9999998807907104</v>
      </c>
      <c r="T21" s="3" t="n">
        <v>4.691163724146463e-08</v>
      </c>
      <c r="U21" t="n">
        <v>553</v>
      </c>
    </row>
    <row r="22">
      <c r="A22" t="inlineStr">
        <is>
          <t>92.21_19-08-2026_18-57-31.webp</t>
        </is>
      </c>
      <c r="B22" t="inlineStr">
        <is>
          <t>уверенно</t>
        </is>
      </c>
      <c r="C22" t="inlineStr">
        <is>
          <t>belaya-lvicza</t>
        </is>
      </c>
      <c r="D22" t="inlineStr">
        <is>
          <t>Белая Львица белое полусладкое — АРАТТИ — Белое полусладкое</t>
        </is>
      </c>
      <c r="F22" t="inlineStr">
        <is>
          <t>belaya-lvicza</t>
        </is>
      </c>
      <c r="G22" t="inlineStr">
        <is>
          <t>chernaya-lvicza-polusladkoe-krasnoe</t>
        </is>
      </c>
      <c r="H22" t="inlineStr">
        <is>
          <t>rozovaya-pantera</t>
        </is>
      </c>
      <c r="I22" t="inlineStr">
        <is>
          <t>aratti-muskat-belyj-suhoe</t>
        </is>
      </c>
      <c r="J22" t="inlineStr">
        <is>
          <t>aratti-muskat-belyj-polusuhoe</t>
        </is>
      </c>
      <c r="K22">
        <f>IF(C22="","",IFERROR(MATCH(C22,F22:J22,0),"нет"))</f>
        <v/>
      </c>
      <c r="L22">
        <f>IF(C22="","",IF(K22=1,1,0))</f>
        <v/>
      </c>
      <c r="M22">
        <f>IF(C22="","",IF(ISNUMBER(K22),1,0))</f>
        <v/>
      </c>
      <c r="N22" t="inlineStr">
        <is>
          <t>Белая Львица белое полусладкое — АРАТТИ — Белое полусладкое</t>
        </is>
      </c>
      <c r="O22" t="inlineStr">
        <is>
          <t>Черная Львица полусладкое красное — АРАТТИ — Красное полусладкое</t>
        </is>
      </c>
      <c r="P22" t="inlineStr">
        <is>
          <t>Розовая Пантера полусладкое розовое — АРАТТИ — Розовое полусладкое</t>
        </is>
      </c>
      <c r="Q22" t="inlineStr">
        <is>
          <t>АРАТТИ Мускат белый сухое — АРАТТИ — Белое сухое</t>
        </is>
      </c>
      <c r="R22" t="inlineStr">
        <is>
          <t>АРАТТИ Мускат белый полусухое — АРАТТИ — Белое полусухое</t>
        </is>
      </c>
      <c r="S22" s="3" t="n">
        <v>0.9999998807907104</v>
      </c>
      <c r="T22" s="3" t="n">
        <v>6.825602838489431e-08</v>
      </c>
      <c r="U22" t="n">
        <v>549.1</v>
      </c>
    </row>
    <row r="23">
      <c r="A23" t="inlineStr">
        <is>
          <t>92.6_07-09-2026_11-04-40.webp</t>
        </is>
      </c>
      <c r="B23" t="inlineStr">
        <is>
          <t>уверенно</t>
        </is>
      </c>
      <c r="C23" t="inlineStr">
        <is>
          <t>aratti-kaberne-sovinon-2020-krasnoe-suhoe</t>
        </is>
      </c>
      <c r="D23" t="inlineStr">
        <is>
          <t>АРАТТИ Каберне Совиньон 2020 красное сухое — АРАТТИ — Красное сухое</t>
        </is>
      </c>
      <c r="F23" t="inlineStr">
        <is>
          <t>aratti-kaberne-sovinon-2020-krasnoe-suhoe</t>
        </is>
      </c>
      <c r="G23" t="inlineStr">
        <is>
          <t>aratti-kaberne-sovinon-2021-krasnoe-suhoe</t>
        </is>
      </c>
      <c r="H23" t="inlineStr">
        <is>
          <t>artvin-kaberne-sovinon-grand-rezerv-krasnoe-suhoe-13</t>
        </is>
      </c>
      <c r="I23" t="inlineStr">
        <is>
          <t>vinodelnya-begildeeva-kaberne-sovinon-krasnoe-suhoe-14</t>
        </is>
      </c>
      <c r="J23" t="inlineStr">
        <is>
          <t>aratti-sovinon-blan-beloe-polusuhoe</t>
        </is>
      </c>
      <c r="K23">
        <f>IF(C23="","",IFERROR(MATCH(C23,F23:J23,0),"нет"))</f>
        <v/>
      </c>
      <c r="L23">
        <f>IF(C23="","",IF(K23=1,1,0))</f>
        <v/>
      </c>
      <c r="M23">
        <f>IF(C23="","",IF(ISNUMBER(K23),1,0))</f>
        <v/>
      </c>
      <c r="N23" t="inlineStr">
        <is>
          <t>АРАТТИ Каберне Совиньон 2020 красное сухое — АРАТТИ — Красное сухое</t>
        </is>
      </c>
      <c r="O23" t="inlineStr">
        <is>
          <t>АРАТТИ Каберне Совиньон 2021 красное сухое — АРАТТИ — Красное сухое</t>
        </is>
      </c>
      <c r="P23" t="inlineStr">
        <is>
          <t>Каберне Совиньон Гранд Резерв — Артвин — Красное сухое</t>
        </is>
      </c>
      <c r="Q23" t="inlineStr">
        <is>
          <t>Каберне Совиньон — Винодельня Бегильдеева — Красное сухое</t>
        </is>
      </c>
      <c r="R23" t="inlineStr">
        <is>
          <t>АРАТТИ Совиньон блан белое полусухое — АРАТТИ — Белое полусухое</t>
        </is>
      </c>
      <c r="S23" s="3" t="n">
        <v>0.9999998807907104</v>
      </c>
      <c r="T23" s="3" t="n">
        <v>6.825602838489431e-08</v>
      </c>
      <c r="U23" t="n">
        <v>546.6</v>
      </c>
    </row>
    <row r="24">
      <c r="A24" t="inlineStr">
        <is>
          <t>92.94_21-08-2026_19-37-08.webp</t>
        </is>
      </c>
      <c r="B24" t="inlineStr">
        <is>
          <t>не уверен</t>
        </is>
      </c>
      <c r="C24" t="inlineStr">
        <is>
          <t>denisov-winery-sovinon-blan-beloe-suhoe-115</t>
        </is>
      </c>
      <c r="D24" t="inlineStr">
        <is>
          <t>Совиньон Блан — Denisov Winery — Белое сухое</t>
        </is>
      </c>
      <c r="E24" t="inlineStr">
        <is>
          <t>есть такое, но этикетка черная, а не белая</t>
        </is>
      </c>
      <c r="F24" t="inlineStr">
        <is>
          <t>denisov-winery-sovinon-blan-beloe-suhoe-115</t>
        </is>
      </c>
      <c r="G24" t="inlineStr">
        <is>
          <t>dubinin-winery-sovinon-blan-beloe-suhoe-12</t>
        </is>
      </c>
      <c r="H24" t="inlineStr">
        <is>
          <t>zhemchuzhnaya-9-sovinon-blan-aligote</t>
        </is>
      </c>
      <c r="I24" t="inlineStr">
        <is>
          <t>sovinon-blan</t>
        </is>
      </c>
      <c r="J24" t="inlineStr">
        <is>
          <t>blagolyubov-sovinon-blan-beloe-suhoe-125</t>
        </is>
      </c>
      <c r="K24">
        <f>IF(C24="","",IFERROR(MATCH(C24,F24:J24,0),"нет"))</f>
        <v/>
      </c>
      <c r="L24">
        <f>IF(C24="","",IF(K24=1,1,0))</f>
        <v/>
      </c>
      <c r="M24">
        <f>IF(C24="","",IF(ISNUMBER(K24),1,0))</f>
        <v/>
      </c>
      <c r="N24" t="inlineStr">
        <is>
          <t>Совиньон Блан — Denisov Winery — Белое сухое</t>
        </is>
      </c>
      <c r="O24" t="inlineStr">
        <is>
          <t>Совиньон Блан — Dubinin Winery — Белое сухое</t>
        </is>
      </c>
      <c r="P24" t="inlineStr">
        <is>
          <t>Жемчужная 9 Совиньон блан, Алиготе — АРАТТИ — Белое сухое</t>
        </is>
      </c>
      <c r="Q24" t="inlineStr">
        <is>
          <t>Совиньон Блан — Литавщук. Litavshchuk vineyards &amp; winery — Белое полусладкое</t>
        </is>
      </c>
      <c r="R24" t="inlineStr">
        <is>
          <t>Совиньон Блан — Благолюбов — Белое сухое</t>
        </is>
      </c>
      <c r="S24" s="3" t="n">
        <v>0.9999997615814209</v>
      </c>
      <c r="T24" s="3" t="n">
        <v>7.734419682492444e-08</v>
      </c>
      <c r="U24" t="n">
        <v>550.3</v>
      </c>
    </row>
    <row r="25">
      <c r="A25" t="inlineStr">
        <is>
          <t>92.96_19-08-2026_21-07-12.webp</t>
        </is>
      </c>
      <c r="B25" t="inlineStr">
        <is>
          <t>уверенно</t>
        </is>
      </c>
      <c r="C25" t="inlineStr">
        <is>
          <t>aratti-kaberne-sovinon-2020-krasnoe-suhoe</t>
        </is>
      </c>
      <c r="D25" t="inlineStr">
        <is>
          <t>АРАТТИ Каберне Совиньон 2020 красное сухое — АРАТТИ — Красное сухое</t>
        </is>
      </c>
      <c r="F25" t="inlineStr">
        <is>
          <t>aratti-kaberne-sovinon-2020-krasnoe-suhoe</t>
        </is>
      </c>
      <c r="G25" t="inlineStr">
        <is>
          <t>aratti-kaberne-sovinon-2021-krasnoe-suhoe</t>
        </is>
      </c>
      <c r="H25" t="inlineStr">
        <is>
          <t>artvin-kaberne-sovinon-grand-rezerv-krasnoe-suhoe-13</t>
        </is>
      </c>
      <c r="I25" t="inlineStr">
        <is>
          <t>vinodelnya-begildeeva-kaberne-sovinon-krasnoe-suhoe-14</t>
        </is>
      </c>
      <c r="J25" t="inlineStr">
        <is>
          <t>usadba-markoth-kaberne-sovinon-rezerv-krasnoe-suhoe-13</t>
        </is>
      </c>
      <c r="K25">
        <f>IF(C25="","",IFERROR(MATCH(C25,F25:J25,0),"нет"))</f>
        <v/>
      </c>
      <c r="L25">
        <f>IF(C25="","",IF(K25=1,1,0))</f>
        <v/>
      </c>
      <c r="M25">
        <f>IF(C25="","",IF(ISNUMBER(K25),1,0))</f>
        <v/>
      </c>
      <c r="N25" t="inlineStr">
        <is>
          <t>АРАТТИ Каберне Совиньон 2020 красное сухое — АРАТТИ — Красное сухое</t>
        </is>
      </c>
      <c r="O25" t="inlineStr">
        <is>
          <t>АРАТТИ Каберне Совиньон 2021 красное сухое — АРАТТИ — Красное сухое</t>
        </is>
      </c>
      <c r="P25" t="inlineStr">
        <is>
          <t>Каберне Совиньон Гранд Резерв — Артвин — Красное сухое</t>
        </is>
      </c>
      <c r="Q25" t="inlineStr">
        <is>
          <t>Каберне Совиньон — Винодельня Бегильдеева — Красное сухое</t>
        </is>
      </c>
      <c r="R25" t="inlineStr">
        <is>
          <t>Каберне Совиньон Резерв — Усадьба Маркотх — Красное сухое</t>
        </is>
      </c>
      <c r="S25" s="3" t="n">
        <v>0.9999997615814209</v>
      </c>
      <c r="T25" s="3" t="n">
        <v>1.855391076333035e-07</v>
      </c>
      <c r="U25" t="n">
        <v>591.2</v>
      </c>
    </row>
    <row r="26">
      <c r="A26" t="inlineStr">
        <is>
          <t>92.99_02-09-2026_04-20-19.webp</t>
        </is>
      </c>
      <c r="B26" t="inlineStr">
        <is>
          <t>нет в каталоге</t>
        </is>
      </c>
      <c r="F26" t="inlineStr">
        <is>
          <t>vinodelnya-myshako-rose-de-noirs-pino-nuar-rozovoe-bryut-123</t>
        </is>
      </c>
      <c r="G26" t="inlineStr">
        <is>
          <t>usadba-divnomorskoe-rose-vione-rozovoe-suhoe-125</t>
        </is>
      </c>
      <c r="H26" t="inlineStr">
        <is>
          <t>kuban-vino-vysokiy-bereg-grafit-roze-kaberne-sovinon-rozovoe-suhoe-12</t>
        </is>
      </c>
      <c r="I26" t="inlineStr">
        <is>
          <t>rozovaya-pantera</t>
        </is>
      </c>
      <c r="J26" t="inlineStr">
        <is>
          <t>mont-blanc-blanc-de-blancs</t>
        </is>
      </c>
      <c r="K26">
        <f>IF(C26="","",IFERROR(MATCH(C26,F26:J26,0),"нет"))</f>
        <v/>
      </c>
      <c r="L26">
        <f>IF(C26="","",IF(K26=1,1,0))</f>
        <v/>
      </c>
      <c r="M26">
        <f>IF(C26="","",IF(ISNUMBER(K26),1,0))</f>
        <v/>
      </c>
      <c r="N26" t="inlineStr">
        <is>
          <t>Rose De Noirs — Мысхако — Розовое брют</t>
        </is>
      </c>
      <c r="O26" t="inlineStr">
        <is>
          <t>Rose — Усадьба Дивноморское — Розовое сухое</t>
        </is>
      </c>
      <c r="P26" t="inlineStr">
        <is>
          <t>Высокий Берег Графит Розе — Кубань-Вино — Розовое сухое</t>
        </is>
      </c>
      <c r="Q26" t="inlineStr">
        <is>
          <t>Розовая Пантера полусладкое розовое — АРАТТИ — Розовое полусладкое</t>
        </is>
      </c>
      <c r="R26" t="inlineStr">
        <is>
          <t>Mont Blanc, Blanc de Blancs — Шато АЛВИСА — Белое брют</t>
        </is>
      </c>
      <c r="S26" s="3" t="n">
        <v>0.005176146514713764</v>
      </c>
      <c r="T26" s="3" t="n">
        <v>0.9863989353179932</v>
      </c>
      <c r="U26" t="n">
        <v>556.3</v>
      </c>
    </row>
    <row r="27">
      <c r="A27" t="inlineStr">
        <is>
          <t>93.31_05-09-2026_13-39-37.webp</t>
        </is>
      </c>
      <c r="B27" t="inlineStr">
        <is>
          <t>уверенно</t>
        </is>
      </c>
      <c r="C27" t="inlineStr">
        <is>
          <t>golubitskoe-estate-noble-selection-red-blend-kaberne-sovinon-krasnoe-suhoe-136</t>
        </is>
      </c>
      <c r="D27" t="inlineStr">
        <is>
          <t>Noble Selection Red Blend — Golubitskoe Estate — Красное сухое</t>
        </is>
      </c>
      <c r="F27" t="inlineStr">
        <is>
          <t>golubitskoe-estate-noble-selection-red-blend-kaberne-sovinon-krasnoe-suhoe-136</t>
        </is>
      </c>
      <c r="G27" t="inlineStr">
        <is>
          <t>golubitskoe-estate-kaberne-sovinon-noble-selection-krasnoe-suhoe-133</t>
        </is>
      </c>
      <c r="H27" t="inlineStr">
        <is>
          <t>golubitskoe-estate-red-blend-kaberne-sovinon-krasnoe-suhoe-136</t>
        </is>
      </c>
      <c r="I27" t="inlineStr">
        <is>
          <t>golubitskoe-estate-kaberne-sovinon-rezerv-krasnoe-suhoe-125</t>
        </is>
      </c>
      <c r="J27" t="inlineStr">
        <is>
          <t>golubitskoe-estate-noble-selection-white-blend-shardone-beloe-suhoe-135</t>
        </is>
      </c>
      <c r="K27">
        <f>IF(C27="","",IFERROR(MATCH(C27,F27:J27,0),"нет"))</f>
        <v/>
      </c>
      <c r="L27">
        <f>IF(C27="","",IF(K27=1,1,0))</f>
        <v/>
      </c>
      <c r="M27">
        <f>IF(C27="","",IF(ISNUMBER(K27),1,0))</f>
        <v/>
      </c>
      <c r="N27" t="inlineStr">
        <is>
          <t>Noble Selection Red Blend — Golubitskoe Estate — Красное сухое</t>
        </is>
      </c>
      <c r="O27" t="inlineStr">
        <is>
          <t>Каберне Совиньон Noble Selection — Golubitskoe Estate — Красное сухое</t>
        </is>
      </c>
      <c r="P27" t="inlineStr">
        <is>
          <t>Red Blend — Golubitskoe Estate — Красное сухое</t>
        </is>
      </c>
      <c r="Q27" t="inlineStr">
        <is>
          <t>Каберне Совиньон Резерв — Golubitskoe Estate — Красное сухое</t>
        </is>
      </c>
      <c r="R27" t="inlineStr">
        <is>
          <t>Noble Selection White Blend — Golubitskoe Estate — Белое сухое</t>
        </is>
      </c>
      <c r="S27" s="3" t="n">
        <v>0.9999992847442627</v>
      </c>
      <c r="T27" s="3" t="n">
        <v>5.043473265686771e-07</v>
      </c>
      <c r="U27" t="n">
        <v>547.9</v>
      </c>
    </row>
    <row r="28">
      <c r="A28" t="inlineStr">
        <is>
          <t>93.43_05-09-2026_13-34-45.webp</t>
        </is>
      </c>
      <c r="B28" t="inlineStr">
        <is>
          <t>уверенно</t>
        </is>
      </c>
      <c r="C28" t="inlineStr">
        <is>
          <t>denisov_pet_nat_rubin</t>
        </is>
      </c>
      <c r="D28" t="inlineStr">
        <is>
          <t>Пет-Нат Рубин — Denisov Winery — Розовое экстра брют</t>
        </is>
      </c>
      <c r="F28" t="inlineStr">
        <is>
          <t>denisov_pet_nat_rubin</t>
        </is>
      </c>
      <c r="G28" t="inlineStr">
        <is>
          <t>fioletovyj-rannij-petnat</t>
        </is>
      </c>
      <c r="H28" t="inlineStr">
        <is>
          <t>denisov-winery-petnat-tsitron-risling-tsitronnyy-magaracha-beloe-ekstra-bryut-102</t>
        </is>
      </c>
      <c r="I28" t="inlineStr">
        <is>
          <t>denisov-winery-petnat-risling-beloe-ekstra-bryut-10</t>
        </is>
      </c>
      <c r="J28" t="inlineStr">
        <is>
          <t>denisov-winery-petnat-rkatsiteli-beloe-ekstra-bryut-107</t>
        </is>
      </c>
      <c r="K28">
        <f>IF(C28="","",IFERROR(MATCH(C28,F28:J28,0),"нет"))</f>
        <v/>
      </c>
      <c r="L28">
        <f>IF(C28="","",IF(K28=1,1,0))</f>
        <v/>
      </c>
      <c r="M28">
        <f>IF(C28="","",IF(ISNUMBER(K28),1,0))</f>
        <v/>
      </c>
      <c r="N28" t="inlineStr">
        <is>
          <t>Пет-Нат Рубин — Denisov Winery — Розовое экстра брют</t>
        </is>
      </c>
      <c r="O28" t="inlineStr">
        <is>
          <t>Фиолетовый Ранний петнат — Гусевъ — Белое экстра брют</t>
        </is>
      </c>
      <c r="P28" t="inlineStr">
        <is>
          <t>Петнат Цитрон - Рислинг — Denisov Winery — Белое экстра брют</t>
        </is>
      </c>
      <c r="Q28" t="inlineStr">
        <is>
          <t>Петнат Рислинг — Denisov Winery — Белое экстра брют</t>
        </is>
      </c>
      <c r="R28" t="inlineStr">
        <is>
          <t>Петнат Ркацители — Denisov Winery — Белое экстра брют</t>
        </is>
      </c>
      <c r="S28" s="3" t="n">
        <v>0.9999998807907104</v>
      </c>
      <c r="T28" s="3" t="n">
        <v>4.058651470462138e-10</v>
      </c>
      <c r="U28" t="n">
        <v>548.2</v>
      </c>
    </row>
    <row r="29">
      <c r="A29" t="inlineStr">
        <is>
          <t>93.68_19-08-2026_20-44-28.webp</t>
        </is>
      </c>
      <c r="B29" t="inlineStr">
        <is>
          <t>уверенно</t>
        </is>
      </c>
      <c r="C29" t="inlineStr">
        <is>
          <t>zakat-denisov-vajneri</t>
        </is>
      </c>
      <c r="D29" t="inlineStr">
        <is>
          <t>Закат. Денисов Вайнери — Denisov Winery — Розовое сухое</t>
        </is>
      </c>
      <c r="F29" t="inlineStr">
        <is>
          <t>zakat-denisov-vajneri</t>
        </is>
      </c>
      <c r="G29" t="inlineStr">
        <is>
          <t>znoj-denisov-vajneri</t>
        </is>
      </c>
      <c r="H29" t="inlineStr">
        <is>
          <t>zhemchuzhnaya-9-pino-nuar-muskat-rozovyj</t>
        </is>
      </c>
      <c r="I29" t="inlineStr">
        <is>
          <t>rozovaya-pantera</t>
        </is>
      </c>
      <c r="J29" t="inlineStr">
        <is>
          <t>vinodelnya-78-muskat-polusladkoe-muskat-ottonel-beloe-115</t>
        </is>
      </c>
      <c r="K29">
        <f>IF(C29="","",IFERROR(MATCH(C29,F29:J29,0),"нет"))</f>
        <v/>
      </c>
      <c r="L29">
        <f>IF(C29="","",IF(K29=1,1,0))</f>
        <v/>
      </c>
      <c r="M29">
        <f>IF(C29="","",IF(ISNUMBER(K29),1,0))</f>
        <v/>
      </c>
      <c r="N29" t="inlineStr">
        <is>
          <t>Закат. Денисов Вайнери — Denisov Winery — Розовое сухое</t>
        </is>
      </c>
      <c r="O29" t="inlineStr">
        <is>
          <t>Зной. Денисов Вайнери — Denisov Winery — Белое сухое</t>
        </is>
      </c>
      <c r="P29" t="inlineStr">
        <is>
          <t>Жемчужная 9 Пино Нуар, Мускат Розовый — АРАТТИ — Розовое сухое</t>
        </is>
      </c>
      <c r="Q29" t="inlineStr">
        <is>
          <t>Розовая Пантера полусладкое розовое — АРАТТИ — Розовое полусладкое</t>
        </is>
      </c>
      <c r="R29" t="inlineStr">
        <is>
          <t>Мускат полусладкое — Винодельня 78 — Белое полусладкое</t>
        </is>
      </c>
      <c r="S29" s="3" t="n">
        <v>0.999997615814209</v>
      </c>
      <c r="T29" s="3" t="n">
        <v>1.76034211563092e-06</v>
      </c>
      <c r="U29" t="n">
        <v>547.1</v>
      </c>
    </row>
    <row r="30">
      <c r="A30" t="inlineStr">
        <is>
          <t>93.84_02-09-2026_17-13-04.webp</t>
        </is>
      </c>
      <c r="B30" t="inlineStr">
        <is>
          <t>уверенно</t>
        </is>
      </c>
      <c r="C30" t="inlineStr">
        <is>
          <t>zakat-denisov-vajneri</t>
        </is>
      </c>
      <c r="D30" t="inlineStr">
        <is>
          <t>Закат. Денисов Вайнери — Denisov Winery — Розовое сухое</t>
        </is>
      </c>
      <c r="F30" t="inlineStr">
        <is>
          <t>zakat-denisov-vajneri</t>
        </is>
      </c>
      <c r="G30" t="inlineStr">
        <is>
          <t>vinodelnya-78-muskat-polusladkoe-muskat-ottonel-beloe-115</t>
        </is>
      </c>
      <c r="H30" t="inlineStr">
        <is>
          <t>zhemchuzhnaya-9-pino-nuar-muskat-rozovyj</t>
        </is>
      </c>
      <c r="I30" t="inlineStr">
        <is>
          <t>rozovaya-pantera</t>
        </is>
      </c>
      <c r="J30" t="inlineStr">
        <is>
          <t>vinodelnya-vedernikov-tsimlyanskiy-chernyy-rozovyy-rozovoe-suhoe-125</t>
        </is>
      </c>
      <c r="K30">
        <f>IF(C30="","",IFERROR(MATCH(C30,F30:J30,0),"нет"))</f>
        <v/>
      </c>
      <c r="L30">
        <f>IF(C30="","",IF(K30=1,1,0))</f>
        <v/>
      </c>
      <c r="M30">
        <f>IF(C30="","",IF(ISNUMBER(K30),1,0))</f>
        <v/>
      </c>
      <c r="N30" t="inlineStr">
        <is>
          <t>Закат. Денисов Вайнери — Denisov Winery — Розовое сухое</t>
        </is>
      </c>
      <c r="O30" t="inlineStr">
        <is>
          <t>Мускат полусладкое — Винодельня 78 — Белое полусладкое</t>
        </is>
      </c>
      <c r="P30" t="inlineStr">
        <is>
          <t>Жемчужная 9 Пино Нуар, Мускат Розовый — АРАТТИ — Розовое сухое</t>
        </is>
      </c>
      <c r="Q30" t="inlineStr">
        <is>
          <t>Розовая Пантера полусладкое розовое — АРАТТИ — Розовое полусладкое</t>
        </is>
      </c>
      <c r="R30" t="inlineStr">
        <is>
          <t>Цимлянский Черный розовый — Ведерниковъ — Розовое сухое</t>
        </is>
      </c>
      <c r="S30" s="3" t="n">
        <v>0.9999984502792358</v>
      </c>
      <c r="T30" s="3" t="n">
        <v>3.92785750591429e-07</v>
      </c>
      <c r="U30" t="n">
        <v>508.4</v>
      </c>
    </row>
    <row r="31">
      <c r="A31" t="inlineStr">
        <is>
          <t>93.95_05-09-2026_15-29-36.webp</t>
        </is>
      </c>
      <c r="B31" t="inlineStr">
        <is>
          <t>нет в каталоге</t>
        </is>
      </c>
      <c r="F31" t="inlineStr">
        <is>
          <t>fanagoriya-alveus-ultra-cuvee-ekstra-bryut-rozovoe-merlo-12</t>
        </is>
      </c>
      <c r="G31" t="inlineStr">
        <is>
          <t>fanagoriya-alveus-ultra-cuvee-brut-shardone-beloe-bryut-12</t>
        </is>
      </c>
      <c r="H31" t="inlineStr">
        <is>
          <t>novyy-svet-dom-shampanskih-vin-igristoe-vino-vyderzhannoe-polusladkoe-rozovoe-novyy-svet-pino-fran-135</t>
        </is>
      </c>
      <c r="I31" t="inlineStr">
        <is>
          <t>abrau-dyurso-imperial-kyuve-pino-nuar-rozovoe-bryut-125</t>
        </is>
      </c>
      <c r="J31" t="inlineStr">
        <is>
          <t>fanagoriya-alveus-ultra-cuvee-ekstra-bryut-beloe-risling-reynskiy-12</t>
        </is>
      </c>
      <c r="K31">
        <f>IF(C31="","",IFERROR(MATCH(C31,F31:J31,0),"нет"))</f>
        <v/>
      </c>
      <c r="L31">
        <f>IF(C31="","",IF(K31=1,1,0))</f>
        <v/>
      </c>
      <c r="M31">
        <f>IF(C31="","",IF(ISNUMBER(K31),1,0))</f>
        <v/>
      </c>
      <c r="N31" t="inlineStr">
        <is>
          <t>Alveus Ultra Cuvee. Экстра брют розовое — Фанагория — Розовое экстра брют</t>
        </is>
      </c>
      <c r="O31" t="inlineStr">
        <is>
          <t>Alveus Ultra Cuvee Brut — Фанагория — Белое брют</t>
        </is>
      </c>
      <c r="P31" t="inlineStr">
        <is>
          <t>Игристое вино выдержанное полусладкое розовое «Новый Свет. Пино Фран» — Новый Свет. Дом шампанских вин — Розовое полусладкое</t>
        </is>
      </c>
      <c r="Q31" t="inlineStr">
        <is>
          <t>Империал Кюве — Абрау-Дюрсо — Розовое брют</t>
        </is>
      </c>
      <c r="R31" t="inlineStr">
        <is>
          <t>Alveus Ultra Cuvee. Экстра брют белое — Фанагория — Белое экстра брют</t>
        </is>
      </c>
      <c r="S31" s="3" t="n">
        <v>0.9778738617897034</v>
      </c>
      <c r="T31" s="3" t="n">
        <v>0.003526763990521431</v>
      </c>
      <c r="U31" t="n">
        <v>563.9</v>
      </c>
    </row>
    <row r="32">
      <c r="A32" t="inlineStr">
        <is>
          <t>93.97_28-08-2026_16-02-48.webp</t>
        </is>
      </c>
      <c r="B32" t="inlineStr">
        <is>
          <t>нет в каталоге</t>
        </is>
      </c>
      <c r="F32" t="inlineStr">
        <is>
          <t>golubitskoe-estate-chardonnay</t>
        </is>
      </c>
      <c r="G32" t="inlineStr">
        <is>
          <t>golubitskoe-estate-shardone-rezerv-beloe-suhoe-135</t>
        </is>
      </c>
      <c r="H32" t="inlineStr">
        <is>
          <t>golubitskoe-estate-sovinon-blan-beloe-suhoe-11</t>
        </is>
      </c>
      <c r="I32" t="inlineStr">
        <is>
          <t>golubitskoe-estate-shardone-noble-selection-barrel-touch-beloe-suhoe-135</t>
        </is>
      </c>
      <c r="J32" t="inlineStr">
        <is>
          <t>pomeste-golubitskoe-shardone-rezerv-beloe-suhoe-132</t>
        </is>
      </c>
      <c r="K32">
        <f>IF(C32="","",IFERROR(MATCH(C32,F32:J32,0),"нет"))</f>
        <v/>
      </c>
      <c r="L32">
        <f>IF(C32="","",IF(K32=1,1,0))</f>
        <v/>
      </c>
      <c r="M32">
        <f>IF(C32="","",IF(ISNUMBER(K32),1,0))</f>
        <v/>
      </c>
      <c r="N32" t="inlineStr">
        <is>
          <t>Golubitskoe Estate Chardonnay — Поместье Голубицкое — Белое сухое</t>
        </is>
      </c>
      <c r="O32" t="inlineStr">
        <is>
          <t>Шардоне Резерв — Golubitskoe Estate — Белое сухое</t>
        </is>
      </c>
      <c r="P32" t="inlineStr">
        <is>
          <t>Совиньон Блан — Golubitskoe Estate — Белое сухое</t>
        </is>
      </c>
      <c r="Q32" t="inlineStr">
        <is>
          <t>Шардоне Noble Selection Barrel Touch — Golubitskoe Estate — Белое сухое</t>
        </is>
      </c>
      <c r="R32" t="inlineStr">
        <is>
          <t>Шардоне Резерв — Golubitskoe Estate — Белое сухое</t>
        </is>
      </c>
      <c r="S32" s="3" t="n">
        <v>0.9999978542327881</v>
      </c>
      <c r="T32" s="3" t="n">
        <v>1.994729473153711e-06</v>
      </c>
      <c r="U32" t="n">
        <v>543.5</v>
      </c>
    </row>
    <row r="33">
      <c r="A33" t="inlineStr">
        <is>
          <t>94.02_24-08-2026_17-46-57.webp</t>
        </is>
      </c>
      <c r="B33" t="inlineStr">
        <is>
          <t>уверенно</t>
        </is>
      </c>
      <c r="C33" t="inlineStr">
        <is>
          <t>rubin-golodrigi</t>
        </is>
      </c>
      <c r="D33" t="inlineStr">
        <is>
          <t>Рубин Голодриги  — Табия — Красное сухое</t>
        </is>
      </c>
      <c r="F33" t="inlineStr">
        <is>
          <t>rubin-golodrigi</t>
        </is>
      </c>
      <c r="G33" t="inlineStr">
        <is>
          <t>kaberne-sovinon-2</t>
        </is>
      </c>
      <c r="H33" t="inlineStr">
        <is>
          <t>pobeda</t>
        </is>
      </c>
      <c r="I33" t="inlineStr">
        <is>
          <t>bukovinka</t>
        </is>
      </c>
      <c r="J33" t="inlineStr">
        <is>
          <t>roze-2</t>
        </is>
      </c>
      <c r="K33">
        <f>IF(C33="","",IFERROR(MATCH(C33,F33:J33,0),"нет"))</f>
        <v/>
      </c>
      <c r="L33">
        <f>IF(C33="","",IF(K33=1,1,0))</f>
        <v/>
      </c>
      <c r="M33">
        <f>IF(C33="","",IF(ISNUMBER(K33),1,0))</f>
        <v/>
      </c>
      <c r="N33" t="inlineStr">
        <is>
          <t>Рубин Голодриги  — Табия — Красное сухое</t>
        </is>
      </c>
      <c r="O33" t="inlineStr">
        <is>
          <t>Каберне Совиньон — Табия — Красное сухое</t>
        </is>
      </c>
      <c r="P33" t="inlineStr">
        <is>
          <t>Победа — Табия — Красное сухое</t>
        </is>
      </c>
      <c r="Q33" t="inlineStr">
        <is>
          <t>Буковинка — Табия — Белое полусухое</t>
        </is>
      </c>
      <c r="R33" t="inlineStr">
        <is>
          <t>Розе — Табия — Розовое сухое</t>
        </is>
      </c>
      <c r="S33" s="3" t="n">
        <v>0.9999996423721313</v>
      </c>
      <c r="T33" s="3" t="n">
        <v>5.315783724313405e-08</v>
      </c>
      <c r="U33" t="n">
        <v>550.8</v>
      </c>
    </row>
    <row r="34">
      <c r="A34" t="inlineStr">
        <is>
          <t>94.43_05-09-2026_15-29-25.webp</t>
        </is>
      </c>
      <c r="B34" t="inlineStr">
        <is>
          <t>нет в каталоге</t>
        </is>
      </c>
      <c r="F34" t="inlineStr">
        <is>
          <t>rozovoe-bryut-1</t>
        </is>
      </c>
      <c r="G34" t="inlineStr">
        <is>
          <t>vinodelnya-78-muskat-polusladkoe-muskat-ottonel-beloe-115</t>
        </is>
      </c>
      <c r="H34" t="inlineStr">
        <is>
          <t>fanagoriya-alveus-ultra-cuvee-brut-shardone-beloe-bryut-12</t>
        </is>
      </c>
      <c r="I34" t="inlineStr">
        <is>
          <t>novyy-svet-dom-shampanskih-vin-igristoe-vino-vyderzhannoe-polusladkoe-rozovoe-novyy-svet-pino-fran-135</t>
        </is>
      </c>
      <c r="J34" t="inlineStr">
        <is>
          <t>balaklava-bryut-rezerv</t>
        </is>
      </c>
      <c r="K34">
        <f>IF(C34="","",IFERROR(MATCH(C34,F34:J34,0),"нет"))</f>
        <v/>
      </c>
      <c r="L34">
        <f>IF(C34="","",IF(K34=1,1,0))</f>
        <v/>
      </c>
      <c r="M34">
        <f>IF(C34="","",IF(ISNUMBER(K34),1,0))</f>
        <v/>
      </c>
      <c r="N34" t="inlineStr">
        <is>
          <t>Розовое брют — Золотая Балка — Розовое брют</t>
        </is>
      </c>
      <c r="O34" t="inlineStr">
        <is>
          <t>Мускат полусладкое — Винодельня 78 — Белое полусладкое</t>
        </is>
      </c>
      <c r="P34" t="inlineStr">
        <is>
          <t>Alveus Ultra Cuvee Brut — Фанагория — Белое брют</t>
        </is>
      </c>
      <c r="Q34" t="inlineStr">
        <is>
          <t>Игристое вино выдержанное полусладкое розовое «Новый Свет. Пино Фран» — Новый Свет. Дом шампанских вин — Розовое полусладкое</t>
        </is>
      </c>
      <c r="R34" t="inlineStr">
        <is>
          <t>Балаклава Брют Резерв — Золотая Балка — Белое брют</t>
        </is>
      </c>
      <c r="S34" s="3" t="n">
        <v>0.9943671822547913</v>
      </c>
      <c r="T34" s="3" t="n">
        <v>0.003586248261854053</v>
      </c>
      <c r="U34" t="n">
        <v>568.8</v>
      </c>
    </row>
    <row r="35">
      <c r="A35" t="inlineStr">
        <is>
          <t>94.55_02-09-2026_16-53-08.webp</t>
        </is>
      </c>
      <c r="B35" t="inlineStr">
        <is>
          <t>уверенно</t>
        </is>
      </c>
      <c r="C35" t="inlineStr">
        <is>
          <t>denisov_pazori_risling</t>
        </is>
      </c>
      <c r="D35" t="inlineStr">
        <is>
          <t>Пазори Рислинг — Denisov Winery — Белое брют</t>
        </is>
      </c>
      <c r="F35" t="inlineStr">
        <is>
          <t>denisov_pazori_risling</t>
        </is>
      </c>
      <c r="G35" t="inlineStr">
        <is>
          <t>denisov-winery-pino-nuar-shardone-ekstra-bryut-beloe-125</t>
        </is>
      </c>
      <c r="H35" t="inlineStr">
        <is>
          <t>znoj-denisov-vajneri</t>
        </is>
      </c>
      <c r="I35" t="inlineStr">
        <is>
          <t>vinodelnya-zhakov-saperavi-vyderzhannoe-krasnoe-suhoe-115</t>
        </is>
      </c>
      <c r="J35" t="inlineStr">
        <is>
          <t>vinodelnya-uzunov-nrav-krasnostop-zolotovskiy-krasnoe-suhoe-132</t>
        </is>
      </c>
      <c r="K35">
        <f>IF(C35="","",IFERROR(MATCH(C35,F35:J35,0),"нет"))</f>
        <v/>
      </c>
      <c r="L35">
        <f>IF(C35="","",IF(K35=1,1,0))</f>
        <v/>
      </c>
      <c r="M35">
        <f>IF(C35="","",IF(ISNUMBER(K35),1,0))</f>
        <v/>
      </c>
      <c r="N35" t="inlineStr">
        <is>
          <t>Пазори Рислинг — Denisov Winery — Белое брют</t>
        </is>
      </c>
      <c r="O35" t="inlineStr">
        <is>
          <t>Пино Нуар - Шардоне экстра брют — Denisov Winery — Белое экстра брют</t>
        </is>
      </c>
      <c r="P35" t="inlineStr">
        <is>
          <t>Зной. Денисов Вайнери — Denisov Winery — Белое сухое</t>
        </is>
      </c>
      <c r="Q35" t="inlineStr">
        <is>
          <t>Саперави выдержанное — Винодельня Жаков — Красное сухое</t>
        </is>
      </c>
      <c r="R35" t="inlineStr">
        <is>
          <t>Нрав — Винодельня Узунов — Красное сухое</t>
        </is>
      </c>
      <c r="S35" s="3" t="n">
        <v>0.643194317817688</v>
      </c>
      <c r="T35" s="3" t="n">
        <v>0.3442771434783936</v>
      </c>
      <c r="U35" t="n">
        <v>537.5</v>
      </c>
    </row>
    <row r="36">
      <c r="A36" t="inlineStr">
        <is>
          <t>94.72_21-08-2026_15-41-48.webp</t>
        </is>
      </c>
      <c r="B36" t="inlineStr">
        <is>
          <t>не уверен</t>
        </is>
      </c>
      <c r="C36" t="inlineStr">
        <is>
          <t>derbent-vino-desono-kaberne-sovinon-krasnoe-suhoe-125</t>
        </is>
      </c>
      <c r="D36" t="inlineStr">
        <is>
          <t>Дэсоно Каберне Совиньон — Дербент Вино — Красное сухое</t>
        </is>
      </c>
      <c r="E36" t="inlineStr">
        <is>
          <t>есть такое, но надпись внизу несоответствует, она больше. но фактически одно и то же</t>
        </is>
      </c>
      <c r="F36" t="inlineStr">
        <is>
          <t>derbent-vino-desono-kaberne-sovinon-krasnoe-suhoe-125</t>
        </is>
      </c>
      <c r="G36" t="inlineStr">
        <is>
          <t>derbent-vino-desono-merlo-krasnoe-suhoe-125</t>
        </is>
      </c>
      <c r="H36" t="inlineStr">
        <is>
          <t>derbent-vino-desono-kaberne-fran-krasnoe-suhoe-125</t>
        </is>
      </c>
      <c r="I36" t="inlineStr">
        <is>
          <t>derbent-vino-desono-risling-beloe-suhoe-125</t>
        </is>
      </c>
      <c r="J36" t="inlineStr">
        <is>
          <t>derbent-vino-desono-shardone-beloe-suhoe-125</t>
        </is>
      </c>
      <c r="K36">
        <f>IF(C36="","",IFERROR(MATCH(C36,F36:J36,0),"нет"))</f>
        <v/>
      </c>
      <c r="L36">
        <f>IF(C36="","",IF(K36=1,1,0))</f>
        <v/>
      </c>
      <c r="M36">
        <f>IF(C36="","",IF(ISNUMBER(K36),1,0))</f>
        <v/>
      </c>
      <c r="N36" t="inlineStr">
        <is>
          <t>Дэсоно Каберне Совиньон — Дербент Вино — Красное сухое</t>
        </is>
      </c>
      <c r="O36" t="inlineStr">
        <is>
          <t>Дэсоно Мерло — Дербент Вино — Красное сухое</t>
        </is>
      </c>
      <c r="P36" t="inlineStr">
        <is>
          <t>Дэсоно Каберне Фран — Дербент Вино — Красное сухое</t>
        </is>
      </c>
      <c r="Q36" t="inlineStr">
        <is>
          <t>Дэсоно Рислинг — Дербент Вино — Белое сухое</t>
        </is>
      </c>
      <c r="R36" t="inlineStr">
        <is>
          <t>Дэсоно Шардоне — Дербент Вино — Белое сухое</t>
        </is>
      </c>
      <c r="S36" s="3" t="n">
        <v>0.9990887641906738</v>
      </c>
      <c r="T36" s="3" t="n">
        <v>7.727373940724647e-08</v>
      </c>
      <c r="U36" t="n">
        <v>555.9</v>
      </c>
    </row>
    <row r="37">
      <c r="A37" t="inlineStr">
        <is>
          <t>94.7_25-08-2026_15-52-07.webp</t>
        </is>
      </c>
      <c r="B37" t="inlineStr">
        <is>
          <t>уверенно</t>
        </is>
      </c>
      <c r="C37" t="inlineStr">
        <is>
          <t>czitronnyj-magaracha-sovinon-blan</t>
        </is>
      </c>
      <c r="D37" t="inlineStr">
        <is>
          <t>Жемчужная 9 Цитрон, Совиньон блан — АРАТТИ — Белое полусухое</t>
        </is>
      </c>
      <c r="F37" t="inlineStr">
        <is>
          <t>czitronnyj-magaracha-sovinon-blan</t>
        </is>
      </c>
      <c r="G37" t="inlineStr">
        <is>
          <t>zhemchuzhnaya-9-czitron-shardone-1</t>
        </is>
      </c>
      <c r="H37" t="inlineStr">
        <is>
          <t>zhemchuzhnaya-9-czitron-shardone</t>
        </is>
      </c>
      <c r="I37" t="inlineStr">
        <is>
          <t>zhemchuzhnaya-9-aligote-czitron</t>
        </is>
      </c>
      <c r="J37" t="inlineStr">
        <is>
          <t>zhemchuzhnaya-9-risling-sovinon-blan</t>
        </is>
      </c>
      <c r="K37">
        <f>IF(C37="","",IFERROR(MATCH(C37,F37:J37,0),"нет"))</f>
        <v/>
      </c>
      <c r="L37">
        <f>IF(C37="","",IF(K37=1,1,0))</f>
        <v/>
      </c>
      <c r="M37">
        <f>IF(C37="","",IF(ISNUMBER(K37),1,0))</f>
        <v/>
      </c>
      <c r="N37" t="inlineStr">
        <is>
          <t>Жемчужная 9 Цитрон, Совиньон блан — АРАТТИ — Белое полусухое</t>
        </is>
      </c>
      <c r="O37" t="inlineStr">
        <is>
          <t>Жемчужная 9 Цитрон, Шардоне — АРАТТИ — Белое полусладкое</t>
        </is>
      </c>
      <c r="P37" t="inlineStr">
        <is>
          <t>Жемчужная 9 Цитрон, Шардоне — АРАТТИ — Белое сухое</t>
        </is>
      </c>
      <c r="Q37" t="inlineStr">
        <is>
          <t>Жемчужная 9 Алиготе, Цитрон — АРАТТИ — Белое сухое</t>
        </is>
      </c>
      <c r="R37" t="inlineStr">
        <is>
          <t>Жемчужная 9 Рислинг,Совиньон блан — АРАТТИ — Белое полусухое</t>
        </is>
      </c>
      <c r="S37" s="3" t="n">
        <v>0.9999998807907104</v>
      </c>
      <c r="T37" s="3" t="n">
        <v>3.224186428951725e-08</v>
      </c>
      <c r="U37" t="n">
        <v>557.7</v>
      </c>
    </row>
    <row r="38">
      <c r="A38" t="inlineStr">
        <is>
          <t>94.83_27-08-2026_14-29-28.webp</t>
        </is>
      </c>
      <c r="B38" t="inlineStr">
        <is>
          <t>нет в каталоге</t>
        </is>
      </c>
      <c r="F38" t="inlineStr">
        <is>
          <t>shato-pino-sovinon-blan-semilon-beloe-suhoe-115</t>
        </is>
      </c>
      <c r="G38" t="inlineStr">
        <is>
          <t>shato-pino-gravitatsiya-kaberne-sovinon-merlo-krasnoe-suhoe-135</t>
        </is>
      </c>
      <c r="H38" t="inlineStr">
        <is>
          <t>shato-pino-marselan-merlo-krasnoe-suhoe-13</t>
        </is>
      </c>
      <c r="I38" t="inlineStr">
        <is>
          <t>shato-pino-aligote-rkatsiteli-beloe-suhoe-12</t>
        </is>
      </c>
      <c r="J38" t="inlineStr">
        <is>
          <t>shato-pino-shardone-beloe-suhoe-125</t>
        </is>
      </c>
      <c r="K38">
        <f>IF(C38="","",IFERROR(MATCH(C38,F38:J38,0),"нет"))</f>
        <v/>
      </c>
      <c r="L38">
        <f>IF(C38="","",IF(K38=1,1,0))</f>
        <v/>
      </c>
      <c r="M38">
        <f>IF(C38="","",IF(ISNUMBER(K38),1,0))</f>
        <v/>
      </c>
      <c r="N38" t="inlineStr">
        <is>
          <t>Совиньон Блан - Семильон — Шато Пино — Белое сухое</t>
        </is>
      </c>
      <c r="O38" t="inlineStr">
        <is>
          <t>Гравитация. Каберне Совиньон - Мерло — Шато Пино — Красное сухое</t>
        </is>
      </c>
      <c r="P38" t="inlineStr">
        <is>
          <t>Марселан - Мерло — Шато Пино — Красное сухое</t>
        </is>
      </c>
      <c r="Q38" t="inlineStr">
        <is>
          <t>Алиготе - Ркацители белое сухое — Шато Пино — Белое сухое</t>
        </is>
      </c>
      <c r="R38" t="inlineStr">
        <is>
          <t>Шардоне — Шато Пино — Белое сухое</t>
        </is>
      </c>
      <c r="S38" s="3" t="n">
        <v>0.9926186203956604</v>
      </c>
      <c r="T38" s="3" t="n">
        <v>0.00668821157887578</v>
      </c>
      <c r="U38" t="n">
        <v>573.3</v>
      </c>
    </row>
    <row r="39">
      <c r="A39" t="inlineStr">
        <is>
          <t>94.8_01-09-2026_10-10-02.webp</t>
        </is>
      </c>
      <c r="B39" t="inlineStr">
        <is>
          <t>нет в каталоге</t>
        </is>
      </c>
      <c r="F39" t="inlineStr">
        <is>
          <t>soyuz-vino-mosavali-saperavi-polusladkoe-krasnoe-11</t>
        </is>
      </c>
      <c r="G39" t="inlineStr">
        <is>
          <t>perovskih_polusladkoe_krasnoe</t>
        </is>
      </c>
      <c r="H39" t="inlineStr">
        <is>
          <t>massandra-portveyn-krasnyy-livadiya-kaberne-sovinon-krasnoe-sladkoe-185</t>
        </is>
      </c>
      <c r="I39" t="inlineStr">
        <is>
          <t>massandra-portveyn-krasnyy-alushta-krasnye-sorta-vinograda-krasnoe-sladkoe-17</t>
        </is>
      </c>
      <c r="J39" t="inlineStr">
        <is>
          <t>kaberne-sovinon</t>
        </is>
      </c>
      <c r="K39">
        <f>IF(C39="","",IFERROR(MATCH(C39,F39:J39,0),"нет"))</f>
        <v/>
      </c>
      <c r="L39">
        <f>IF(C39="","",IF(K39=1,1,0))</f>
        <v/>
      </c>
      <c r="M39">
        <f>IF(C39="","",IF(ISNUMBER(K39),1,0))</f>
        <v/>
      </c>
      <c r="N39" t="inlineStr">
        <is>
          <t>Мосавали Саперави Полусладкое — Союз-Вино — Красное полусладкое</t>
        </is>
      </c>
      <c r="O39" t="inlineStr">
        <is>
          <t>Полусладкое Красное — Усадьба Перовских — Красное полусладкое</t>
        </is>
      </c>
      <c r="P39" t="inlineStr">
        <is>
          <t>Портвейн красный Ливадия — Массандра — Красное сладкое</t>
        </is>
      </c>
      <c r="Q39" t="inlineStr">
        <is>
          <t>Портвейн красный Алушта — Массандра — Красное сладкое</t>
        </is>
      </c>
      <c r="R39" t="inlineStr">
        <is>
          <t>Каберне Совиньон — Массандра — Красное сладкое</t>
        </is>
      </c>
      <c r="S39" s="3" t="n">
        <v>0.9523959159851074</v>
      </c>
      <c r="T39" s="3" t="n">
        <v>0.04741699993610382</v>
      </c>
      <c r="U39" t="n">
        <v>561.8</v>
      </c>
    </row>
    <row r="40">
      <c r="A40" t="inlineStr">
        <is>
          <t>94.94_05-09-2026_15-04-50.webp</t>
        </is>
      </c>
      <c r="B40" t="inlineStr">
        <is>
          <t>не уверен</t>
        </is>
      </c>
      <c r="C40" t="inlineStr">
        <is>
          <t>denisov-winery-sovinon-blan-beloe-suhoe-115</t>
        </is>
      </c>
      <c r="D40" t="inlineStr">
        <is>
          <t>Совиньон Блан — Denisov Winery — Белое сухое</t>
        </is>
      </c>
      <c r="E40" t="inlineStr">
        <is>
          <t>этикетка немного другая. в slug черная, а на фото белая</t>
        </is>
      </c>
      <c r="F40" t="inlineStr">
        <is>
          <t>denisov-winery-sovinon-blan-beloe-suhoe-115</t>
        </is>
      </c>
      <c r="G40" t="inlineStr">
        <is>
          <t>dubinin-winery-sovinon-blan-beloe-suhoe-12</t>
        </is>
      </c>
      <c r="H40" t="inlineStr">
        <is>
          <t>imenie-sikory-sovinon-blan-sikory-beloe-suhoe-13</t>
        </is>
      </c>
      <c r="I40" t="inlineStr">
        <is>
          <t>znoj-denisov-vajneri</t>
        </is>
      </c>
      <c r="J40" t="inlineStr">
        <is>
          <t>zhemchuzhnaya-9-sovinon-blan-aligote</t>
        </is>
      </c>
      <c r="K40">
        <f>IF(C40="","",IFERROR(MATCH(C40,F40:J40,0),"нет"))</f>
        <v/>
      </c>
      <c r="L40">
        <f>IF(C40="","",IF(K40=1,1,0))</f>
        <v/>
      </c>
      <c r="M40">
        <f>IF(C40="","",IF(ISNUMBER(K40),1,0))</f>
        <v/>
      </c>
      <c r="N40" t="inlineStr">
        <is>
          <t>Совиньон Блан — Denisov Winery — Белое сухое</t>
        </is>
      </c>
      <c r="O40" t="inlineStr">
        <is>
          <t>Совиньон Блан — Dubinin Winery — Белое сухое</t>
        </is>
      </c>
      <c r="P40" t="inlineStr">
        <is>
          <t>Совиньон Блан Сикоры — Имение Сикоры — Белое сухое</t>
        </is>
      </c>
      <c r="Q40" t="inlineStr">
        <is>
          <t>Зной. Денисов Вайнери — Denisov Winery — Белое сухое</t>
        </is>
      </c>
      <c r="R40" t="inlineStr">
        <is>
          <t>Жемчужная 9 Совиньон блан, Алиготе — АРАТТИ — Белое сухое</t>
        </is>
      </c>
      <c r="S40" s="3" t="n">
        <v>0.9999997615814209</v>
      </c>
      <c r="T40" s="3" t="n">
        <v>8.764246217651817e-08</v>
      </c>
      <c r="U40" t="n">
        <v>555.8</v>
      </c>
    </row>
    <row r="41">
      <c r="A41" t="inlineStr">
        <is>
          <t>94.97_02-09-2026_19-01-48.webp</t>
        </is>
      </c>
      <c r="B41" t="inlineStr">
        <is>
          <t>уверенно</t>
        </is>
      </c>
      <c r="C41" t="inlineStr">
        <is>
          <t>zhemchuzhnaya-9-pino-nuar-muskat-rozovyj-2</t>
        </is>
      </c>
      <c r="D41" t="inlineStr">
        <is>
          <t>Жемчужная 9 Пино нуар, Мускат Розовый — АРАТТИ — Розовое полусладкое</t>
        </is>
      </c>
      <c r="F41" t="inlineStr">
        <is>
          <t>zhemchuzhnaya-9-pino-nuar-muskat-rozovyj-2</t>
        </is>
      </c>
      <c r="G41" t="inlineStr">
        <is>
          <t>zhemchuzhnaya-9-muskat-rozovyj-kaberne-sovinon</t>
        </is>
      </c>
      <c r="H41" t="inlineStr">
        <is>
          <t>zhemchuzhnaya-9-pino-nuar-muskat-rozovyj-1</t>
        </is>
      </c>
      <c r="I41" t="inlineStr">
        <is>
          <t>zhemchuzhnaya-9-pino-nuar-muskat-rozovyj</t>
        </is>
      </c>
      <c r="J41" t="inlineStr">
        <is>
          <t>zhemchuzhnaya-9-muskat-rozovyj-pino-gri</t>
        </is>
      </c>
      <c r="K41">
        <f>IF(C41="","",IFERROR(MATCH(C41,F41:J41,0),"нет"))</f>
        <v/>
      </c>
      <c r="L41">
        <f>IF(C41="","",IF(K41=1,1,0))</f>
        <v/>
      </c>
      <c r="M41">
        <f>IF(C41="","",IF(ISNUMBER(K41),1,0))</f>
        <v/>
      </c>
      <c r="N41" t="inlineStr">
        <is>
          <t>Жемчужная 9 Пино нуар, Мускат Розовый — АРАТТИ — Розовое полусладкое</t>
        </is>
      </c>
      <c r="O41" t="inlineStr">
        <is>
          <t>Жемчужная 9 Мускат Розовый, Каберне Совиньон — АРАТТИ — Розовое полусладкое</t>
        </is>
      </c>
      <c r="P41" t="inlineStr">
        <is>
          <t>Жемчужная 9 Пино Нуар, Мускат розовый — АРАТТИ — Розовое полусухое</t>
        </is>
      </c>
      <c r="Q41" t="inlineStr">
        <is>
          <t>Жемчужная 9 Пино Нуар, Мускат Розовый — АРАТТИ — Розовое сухое</t>
        </is>
      </c>
      <c r="R41" t="inlineStr">
        <is>
          <t>Жемчужная 9 Мускат Розовый, Пино гри — АРАТТИ — Розовое сухое</t>
        </is>
      </c>
      <c r="S41" s="3" t="n">
        <v>0.9999929666519165</v>
      </c>
      <c r="T41" s="3" t="n">
        <v>1.444970081365682e-07</v>
      </c>
      <c r="U41" t="n">
        <v>543.7</v>
      </c>
    </row>
    <row r="42">
      <c r="A42" t="inlineStr">
        <is>
          <t>95.03_04-09-2026_11-39-35.webp</t>
        </is>
      </c>
      <c r="B42" t="inlineStr">
        <is>
          <t>уверенно</t>
        </is>
      </c>
      <c r="C42" t="inlineStr">
        <is>
          <t>fanagoriya-zelyonoe-vino-risling-tsitronnyy-magaracha-beloe-polusuhoe-11</t>
        </is>
      </c>
      <c r="D42" t="inlineStr">
        <is>
          <t>Зелёное вино. Рислинг - Цитронный Магарача — Фанагория — Белое полусухое</t>
        </is>
      </c>
      <c r="F42" t="inlineStr">
        <is>
          <t>fanagoriya-zelyonoe-vino-risling-tsitronnyy-magaracha-beloe-polusuhoe-11</t>
        </is>
      </c>
      <c r="G42" t="inlineStr">
        <is>
          <t>fanagoriya-zelyonoe-vino-risling-tsitronnyy-magaracha-merlo-rozovoe-polusuhoe-11</t>
        </is>
      </c>
      <c r="H42" t="inlineStr">
        <is>
          <t>fanagoriya-beloe-polusladkoe</t>
        </is>
      </c>
      <c r="I42" t="inlineStr">
        <is>
          <t>fanagoriya-ona-skazala-da-beloe-polusladkoe</t>
        </is>
      </c>
      <c r="J42" t="inlineStr">
        <is>
          <t>vinodelnya-vedernikov-vedernikov-dolina-dona-beloe-suhoe-aligote-12</t>
        </is>
      </c>
      <c r="K42">
        <f>IF(C42="","",IFERROR(MATCH(C42,F42:J42,0),"нет"))</f>
        <v/>
      </c>
      <c r="L42">
        <f>IF(C42="","",IF(K42=1,1,0))</f>
        <v/>
      </c>
      <c r="M42">
        <f>IF(C42="","",IF(ISNUMBER(K42),1,0))</f>
        <v/>
      </c>
      <c r="N42" t="inlineStr">
        <is>
          <t>Зелёное вино. Рислинг - Цитронный Магарача — Фанагория — Белое полусухое</t>
        </is>
      </c>
      <c r="O42" t="inlineStr">
        <is>
          <t>Зелёное вино. Рислинг - Цитронный Магарача - Мерло — Фанагория — Розовое полусухое</t>
        </is>
      </c>
      <c r="P42" t="inlineStr">
        <is>
          <t>Фанагория белое полусладкое — Фанагория — Белое полусладкое</t>
        </is>
      </c>
      <c r="Q42" t="inlineStr">
        <is>
          <t>Фанагория Она сказала Да! белое полусладкое — Фанагория — Белое полусладкое</t>
        </is>
      </c>
      <c r="R42" t="inlineStr">
        <is>
          <t>Ведерниковъ Долина Дона Белое Сухое — Ведерниковъ — Белое сухое</t>
        </is>
      </c>
      <c r="S42" s="3" t="n">
        <v>0.9999996423721313</v>
      </c>
      <c r="T42" s="3" t="n">
        <v>2.699577521525498e-07</v>
      </c>
      <c r="U42" t="n">
        <v>608.4</v>
      </c>
    </row>
    <row r="43">
      <c r="A43" t="inlineStr">
        <is>
          <t>95.07_01-09-2026_16-15-35.webp</t>
        </is>
      </c>
      <c r="B43" t="inlineStr">
        <is>
          <t>нет в каталоге</t>
        </is>
      </c>
      <c r="F43" t="inlineStr">
        <is>
          <t>khrustaleva-76-muscat-bryut-beloe</t>
        </is>
      </c>
      <c r="G43" t="inlineStr">
        <is>
          <t>kuban-vino-aristov-kyuve-aleksandr-rose-de-pinot-pino-nuar-rozovoe-ekstra-bryut-12</t>
        </is>
      </c>
      <c r="H43" t="inlineStr">
        <is>
          <t>kuban-vino-aristov-kyuve-aleksandr-blanc-de-blancs-36-shardone-beloe-ekstra-bryut-12</t>
        </is>
      </c>
      <c r="I43" t="inlineStr">
        <is>
          <t>shato-pino-pino-gri-roze-rozovoe-ekstra-bryut-12</t>
        </is>
      </c>
      <c r="J43" t="inlineStr">
        <is>
          <t>usadba-perovskih-blanc-de-blancs-shardone-beloe-ekstra-bryut-11</t>
        </is>
      </c>
      <c r="K43">
        <f>IF(C43="","",IFERROR(MATCH(C43,F43:J43,0),"нет"))</f>
        <v/>
      </c>
      <c r="L43">
        <f>IF(C43="","",IF(K43=1,1,0))</f>
        <v/>
      </c>
      <c r="M43">
        <f>IF(C43="","",IF(ISNUMBER(K43),1,0))</f>
        <v/>
      </c>
      <c r="N43" t="inlineStr">
        <is>
          <t>Khrustaleva 76 muscat, брют, белое — AYA Organic Wine &amp; Vineyards — Белое брют</t>
        </is>
      </c>
      <c r="O43" t="inlineStr">
        <is>
          <t>Аристов. Кюве Александр Rose de Pinot — Кубань-Вино — Розовое экстра брют</t>
        </is>
      </c>
      <c r="P43" t="inlineStr">
        <is>
          <t>Аристов. Кюве Александр Blanc de Blancs 36 — Кубань-Вино — Белое экстра брют</t>
        </is>
      </c>
      <c r="Q43" t="inlineStr">
        <is>
          <t>Пино Гри розе — Шато Пино — Розовое экстра брют</t>
        </is>
      </c>
      <c r="R43" t="inlineStr">
        <is>
          <t>Blanc de Blancs — Усадьба Перовских — Белое экстра брют</t>
        </is>
      </c>
      <c r="S43" s="3" t="n">
        <v>0.9999486207962036</v>
      </c>
      <c r="T43" s="3" t="n">
        <v>4.006323433713987e-05</v>
      </c>
      <c r="U43" t="n">
        <v>537.6</v>
      </c>
    </row>
    <row r="44">
      <c r="A44" t="inlineStr">
        <is>
          <t>95.17_29-08-2026_11-06-42.webp</t>
        </is>
      </c>
      <c r="B44" t="inlineStr">
        <is>
          <t>нет в каталоге</t>
        </is>
      </c>
      <c r="F44" t="inlineStr">
        <is>
          <t>golubitskoe-estate-pino-nuar-rezerv-krasnoe-suhoe-132</t>
        </is>
      </c>
      <c r="G44" t="inlineStr">
        <is>
          <t>golubitskoe-estate-red-blend-kaberne-sovinon-krasnoe-suhoe-136</t>
        </is>
      </c>
      <c r="H44" t="inlineStr">
        <is>
          <t>golubitskoe-estate-winery-series-pino-nuar-rozovoe-suhoe-115</t>
        </is>
      </c>
      <c r="I44" t="inlineStr">
        <is>
          <t>golubitskoe-estate-sovinon-blan-beloe-suhoe-11</t>
        </is>
      </c>
      <c r="J44" t="inlineStr">
        <is>
          <t>golubitskoe-estate-shardone-rezerv-beloe-suhoe-135</t>
        </is>
      </c>
      <c r="K44">
        <f>IF(C44="","",IFERROR(MATCH(C44,F44:J44,0),"нет"))</f>
        <v/>
      </c>
      <c r="L44">
        <f>IF(C44="","",IF(K44=1,1,0))</f>
        <v/>
      </c>
      <c r="M44">
        <f>IF(C44="","",IF(ISNUMBER(K44),1,0))</f>
        <v/>
      </c>
      <c r="N44" t="inlineStr">
        <is>
          <t>Пино Нуар Резерв — Golubitskoe Estate — Красное сухое</t>
        </is>
      </c>
      <c r="O44" t="inlineStr">
        <is>
          <t>Red Blend — Golubitskoe Estate — Красное сухое</t>
        </is>
      </c>
      <c r="P44" t="inlineStr">
        <is>
          <t>Winery Series. Пино Нуар — Golubitskoe Estate — Розовое сухое</t>
        </is>
      </c>
      <c r="Q44" t="inlineStr">
        <is>
          <t>Совиньон Блан — Golubitskoe Estate — Белое сухое</t>
        </is>
      </c>
      <c r="R44" t="inlineStr">
        <is>
          <t>Шардоне Резерв — Golubitskoe Estate — Белое сухое</t>
        </is>
      </c>
      <c r="S44" s="3" t="n">
        <v>0.9975169897079468</v>
      </c>
      <c r="T44" s="3" t="n">
        <v>3.280593773524743e-06</v>
      </c>
      <c r="U44" t="n">
        <v>550.5</v>
      </c>
    </row>
    <row r="45">
      <c r="A45" t="inlineStr">
        <is>
          <t>95.19_05-09-2026_15-32-06.webp</t>
        </is>
      </c>
      <c r="B45" t="inlineStr">
        <is>
          <t>нет в каталоге</t>
        </is>
      </c>
      <c r="F45" t="inlineStr">
        <is>
          <t>fanagoriya-alveus-ultra-cuvee-bryut-rozovoe-merlo-igristoe-bryut-rozovoe-12</t>
        </is>
      </c>
      <c r="G45" t="inlineStr">
        <is>
          <t>fanagoriya-alveus-ultra-cuvee-brut-shardone-beloe-bryut-12</t>
        </is>
      </c>
      <c r="H45" t="inlineStr">
        <is>
          <t>fanagoriya-alveus-ultra-cuvee-ekstra-bryut-rozovoe-merlo-12</t>
        </is>
      </c>
      <c r="I45" t="inlineStr">
        <is>
          <t>fanagoriya-alveus-ultra-cuvee-ekstra-bryut-beloe-risling-reynskiy-12</t>
        </is>
      </c>
      <c r="J45" t="inlineStr">
        <is>
          <t>fanagoriya-primum-alveus-brut-2016-shardone-igristoe-bryut-beloe-12</t>
        </is>
      </c>
      <c r="K45">
        <f>IF(C45="","",IFERROR(MATCH(C45,F45:J45,0),"нет"))</f>
        <v/>
      </c>
      <c r="L45">
        <f>IF(C45="","",IF(K45=1,1,0))</f>
        <v/>
      </c>
      <c r="M45">
        <f>IF(C45="","",IF(ISNUMBER(K45),1,0))</f>
        <v/>
      </c>
      <c r="N45" t="inlineStr">
        <is>
          <t>Alveus Ultra Cuvee. Брют розовое — Фанагория — Розовое брют</t>
        </is>
      </c>
      <c r="O45" t="inlineStr">
        <is>
          <t>Alveus Ultra Cuvee Brut — Фанагория — Белое брют</t>
        </is>
      </c>
      <c r="P45" t="inlineStr">
        <is>
          <t>Alveus Ultra Cuvee. Экстра брют розовое — Фанагория — Розовое экстра брют</t>
        </is>
      </c>
      <c r="Q45" t="inlineStr">
        <is>
          <t>Alveus Ultra Cuvee. Экстра брют белое — Фанагория — Белое экстра брют</t>
        </is>
      </c>
      <c r="R45" t="inlineStr">
        <is>
          <t>Primum Alveus Brut 2016 — Фанагория — Белое брют</t>
        </is>
      </c>
      <c r="S45" s="3" t="n">
        <v>0.1606543511152267</v>
      </c>
      <c r="T45" s="3" t="n">
        <v>0.8158701658248901</v>
      </c>
      <c r="U45" t="n">
        <v>574.8</v>
      </c>
    </row>
    <row r="46">
      <c r="A46" t="inlineStr">
        <is>
          <t>95.24_19-08-2026_20-00-22.webp</t>
        </is>
      </c>
      <c r="B46" t="inlineStr">
        <is>
          <t>уверенно</t>
        </is>
      </c>
      <c r="C46" t="inlineStr">
        <is>
          <t>zhemchuzhnaya-9-czitron-shardone-1</t>
        </is>
      </c>
      <c r="D46" t="inlineStr">
        <is>
          <t>Жемчужная 9 Цитрон, Шардоне — АРАТТИ — Белое полусладкое</t>
        </is>
      </c>
      <c r="F46" t="inlineStr">
        <is>
          <t>zhemchuzhnaya-9-czitron-shardone-1</t>
        </is>
      </c>
      <c r="G46" t="inlineStr">
        <is>
          <t>czitronnyj-magaracha-sovinon-blan</t>
        </is>
      </c>
      <c r="H46" t="inlineStr">
        <is>
          <t>zhemchuzhnaya-9-aligote-czitron</t>
        </is>
      </c>
      <c r="I46" t="inlineStr">
        <is>
          <t>zhemchuzhnaya-9-czitron-shardone</t>
        </is>
      </c>
      <c r="J46" t="inlineStr">
        <is>
          <t>zhemchuzhnaya-9-sovinon-blan-aligote</t>
        </is>
      </c>
      <c r="K46">
        <f>IF(C46="","",IFERROR(MATCH(C46,F46:J46,0),"нет"))</f>
        <v/>
      </c>
      <c r="L46">
        <f>IF(C46="","",IF(K46=1,1,0))</f>
        <v/>
      </c>
      <c r="M46">
        <f>IF(C46="","",IF(ISNUMBER(K46),1,0))</f>
        <v/>
      </c>
      <c r="N46" t="inlineStr">
        <is>
          <t>Жемчужная 9 Цитрон, Шардоне — АРАТТИ — Белое полусладкое</t>
        </is>
      </c>
      <c r="O46" t="inlineStr">
        <is>
          <t>Жемчужная 9 Цитрон, Совиньон блан — АРАТТИ — Белое полусухое</t>
        </is>
      </c>
      <c r="P46" t="inlineStr">
        <is>
          <t>Жемчужная 9 Алиготе, Цитрон — АРАТТИ — Белое сухое</t>
        </is>
      </c>
      <c r="Q46" t="inlineStr">
        <is>
          <t>Жемчужная 9 Цитрон, Шардоне — АРАТТИ — Белое сухое</t>
        </is>
      </c>
      <c r="R46" t="inlineStr">
        <is>
          <t>Жемчужная 9 Совиньон блан, Алиготе — АРАТТИ — Белое сухое</t>
        </is>
      </c>
      <c r="S46" s="3" t="n">
        <v>0.9999997615814209</v>
      </c>
      <c r="T46" s="3" t="n">
        <v>1.125351474229319e-07</v>
      </c>
      <c r="U46" t="n">
        <v>550.2</v>
      </c>
    </row>
    <row r="47">
      <c r="A47" t="inlineStr">
        <is>
          <t>95.29_21-08-2026_17-24-49.webp</t>
        </is>
      </c>
      <c r="B47" t="inlineStr">
        <is>
          <t>нет в каталоге</t>
        </is>
      </c>
      <c r="F47" t="inlineStr">
        <is>
          <t>risling-1</t>
        </is>
      </c>
      <c r="G47" t="inlineStr">
        <is>
          <t>bakla-vines-pino-nuar-krasnoe-suhoe-125</t>
        </is>
      </c>
      <c r="H47" t="inlineStr">
        <is>
          <t>usadba-mezyb-shishka-pino-nuar-rozovoe-suhoe-115</t>
        </is>
      </c>
      <c r="I47" t="inlineStr">
        <is>
          <t>vaynkraft-pino-nuar-krasnoe-suhoe-13</t>
        </is>
      </c>
      <c r="J47" t="inlineStr">
        <is>
          <t>oleg</t>
        </is>
      </c>
      <c r="K47">
        <f>IF(C47="","",IFERROR(MATCH(C47,F47:J47,0),"нет"))</f>
        <v/>
      </c>
      <c r="L47">
        <f>IF(C47="","",IF(K47=1,1,0))</f>
        <v/>
      </c>
      <c r="M47">
        <f>IF(C47="","",IF(ISNUMBER(K47),1,0))</f>
        <v/>
      </c>
      <c r="N47" t="inlineStr">
        <is>
          <t>Рислинг — Табия — Белое полусухое</t>
        </is>
      </c>
      <c r="O47" t="inlineStr">
        <is>
          <t>Пино Нуар — Bakla Vines — Красное сухое</t>
        </is>
      </c>
      <c r="P47" t="inlineStr">
        <is>
          <t>Шишка. Пино Нуар — Усадьба Мезыбь — Розовое сухое</t>
        </is>
      </c>
      <c r="Q47" t="inlineStr">
        <is>
          <t>Пино Нуар — ВайнКрафт — Красное сухое</t>
        </is>
      </c>
      <c r="R47" t="inlineStr">
        <is>
          <t>Олег — Табия — Белое сухое</t>
        </is>
      </c>
      <c r="S47" s="3" t="n">
        <v>0.9998103976249695</v>
      </c>
      <c r="T47" s="3" t="n">
        <v>3.725946498889243e-06</v>
      </c>
      <c r="U47" t="n">
        <v>557.6</v>
      </c>
    </row>
    <row r="48">
      <c r="A48" t="inlineStr">
        <is>
          <t>95.2_05-09-2026_13-54-13.webp</t>
        </is>
      </c>
      <c r="B48" t="inlineStr">
        <is>
          <t>уверенно</t>
        </is>
      </c>
      <c r="C48" t="inlineStr">
        <is>
          <t>aratti-kaberne-po-belomu-1</t>
        </is>
      </c>
      <c r="D48" t="inlineStr">
        <is>
          <t>АРАТТИ Каберне по-белому — АРАТТИ — Розовое полусухое</t>
        </is>
      </c>
      <c r="F48" t="inlineStr">
        <is>
          <t>aratti-kaberne-po-belomu-1</t>
        </is>
      </c>
      <c r="G48" t="inlineStr">
        <is>
          <t>aratti-kaberne-po-belomu</t>
        </is>
      </c>
      <c r="H48" t="inlineStr">
        <is>
          <t>aratti-muskat-belyj-polusuhoe</t>
        </is>
      </c>
      <c r="I48" t="inlineStr">
        <is>
          <t>aratti-kaberne-sovinon-2021-krasnoe-suhoe</t>
        </is>
      </c>
      <c r="J48" t="inlineStr">
        <is>
          <t>aratti-sovinon-blan-beloe-polusuhoe</t>
        </is>
      </c>
      <c r="K48">
        <f>IF(C48="","",IFERROR(MATCH(C48,F48:J48,0),"нет"))</f>
        <v/>
      </c>
      <c r="L48">
        <f>IF(C48="","",IF(K48=1,1,0))</f>
        <v/>
      </c>
      <c r="M48">
        <f>IF(C48="","",IF(ISNUMBER(K48),1,0))</f>
        <v/>
      </c>
      <c r="N48" t="inlineStr">
        <is>
          <t>АРАТТИ Каберне по-белому — АРАТТИ — Розовое полусухое</t>
        </is>
      </c>
      <c r="O48" t="inlineStr">
        <is>
          <t>АРАТТИ Каберне по-белому — АРАТТИ — Красное сухое</t>
        </is>
      </c>
      <c r="P48" t="inlineStr">
        <is>
          <t>АРАТТИ Мускат белый полусухое — АРАТТИ — Белое полусухое</t>
        </is>
      </c>
      <c r="Q48" t="inlineStr">
        <is>
          <t>АРАТТИ Каберне Совиньон 2021 красное сухое — АРАТТИ — Красное сухое</t>
        </is>
      </c>
      <c r="R48" t="inlineStr">
        <is>
          <t>АРАТТИ Совиньон блан белое полусухое — АРАТТИ — Белое полусухое</t>
        </is>
      </c>
      <c r="S48" s="3" t="n">
        <v>0.9999997615814209</v>
      </c>
      <c r="T48" s="3" t="n">
        <v>1.275190300020768e-07</v>
      </c>
      <c r="U48" t="n">
        <v>555.5</v>
      </c>
    </row>
    <row r="49">
      <c r="A49" t="inlineStr">
        <is>
          <t>95.32_02-09-2026_12-09-23.webp</t>
        </is>
      </c>
      <c r="B49" t="inlineStr">
        <is>
          <t>уверенно</t>
        </is>
      </c>
      <c r="C49" t="inlineStr">
        <is>
          <t>sovinon-blan</t>
        </is>
      </c>
      <c r="D49" t="inlineStr">
        <is>
          <t>Совиньон Блан — Литавщук. Litavshchuk vineyards &amp; winery — Белое полусладкое</t>
        </is>
      </c>
      <c r="F49" t="inlineStr">
        <is>
          <t>sovinon-blan</t>
        </is>
      </c>
      <c r="G49" t="inlineStr">
        <is>
          <t>domashnyaya-gorka</t>
        </is>
      </c>
      <c r="H49" t="inlineStr">
        <is>
          <t>dubinin-winery-sovinon-blan-beloe-suhoe-12</t>
        </is>
      </c>
      <c r="I49" t="inlineStr">
        <is>
          <t>blagolyubov-sovinon-blan-beloe-suhoe-125</t>
        </is>
      </c>
      <c r="J49" t="inlineStr">
        <is>
          <t>risling-2</t>
        </is>
      </c>
      <c r="K49">
        <f>IF(C49="","",IFERROR(MATCH(C49,F49:J49,0),"нет"))</f>
        <v/>
      </c>
      <c r="L49">
        <f>IF(C49="","",IF(K49=1,1,0))</f>
        <v/>
      </c>
      <c r="M49">
        <f>IF(C49="","",IF(ISNUMBER(K49),1,0))</f>
        <v/>
      </c>
      <c r="N49" t="inlineStr">
        <is>
          <t>Совиньон Блан — Литавщук. Litavshchuk vineyards &amp; winery — Белое полусладкое</t>
        </is>
      </c>
      <c r="O49" t="inlineStr">
        <is>
          <t>Домашняя горка  — Литавщук. Litavshchuk vineyards &amp; winery — Белое полусладкое</t>
        </is>
      </c>
      <c r="P49" t="inlineStr">
        <is>
          <t>Совиньон Блан — Dubinin Winery — Белое сухое</t>
        </is>
      </c>
      <c r="Q49" t="inlineStr">
        <is>
          <t>Совиньон Блан — Благолюбов — Белое сухое</t>
        </is>
      </c>
      <c r="R49" t="inlineStr">
        <is>
          <t>Рислинг  — Литавщук. Litavshchuk vineyards &amp; winery — Белое полусухое</t>
        </is>
      </c>
      <c r="S49" s="3" t="n">
        <v>1</v>
      </c>
      <c r="T49" s="3" t="n">
        <v>8.152020392060422e-09</v>
      </c>
      <c r="U49" t="n">
        <v>555.8</v>
      </c>
    </row>
    <row r="50">
      <c r="A50" t="inlineStr">
        <is>
          <t>95.35_05-09-2026_15-29-53.webp</t>
        </is>
      </c>
      <c r="B50" t="inlineStr">
        <is>
          <t>нет в каталоге</t>
        </is>
      </c>
      <c r="F50" t="inlineStr">
        <is>
          <t>fanagoriya-alveus-ultra-cuvee-bryut-rozovoe-merlo-igristoe-bryut-rozovoe-12</t>
        </is>
      </c>
      <c r="G50" t="inlineStr">
        <is>
          <t>fanagoriya-alveus-ultra-cuvee-ekstra-bryut-rozovoe-merlo-12</t>
        </is>
      </c>
      <c r="H50" t="inlineStr">
        <is>
          <t>fanagoriya-alveus-ultra-cuvee-ekstra-bryut-beloe-risling-reynskiy-12</t>
        </is>
      </c>
      <c r="I50" t="inlineStr">
        <is>
          <t>fanagoriya-alveus-ultra-cuvee-brut-shardone-beloe-bryut-12</t>
        </is>
      </c>
      <c r="J50" t="inlineStr">
        <is>
          <t>fanagoriya-primum-alveus-brut-2016-shardone-igristoe-bryut-beloe-12</t>
        </is>
      </c>
      <c r="K50">
        <f>IF(C50="","",IFERROR(MATCH(C50,F50:J50,0),"нет"))</f>
        <v/>
      </c>
      <c r="L50">
        <f>IF(C50="","",IF(K50=1,1,0))</f>
        <v/>
      </c>
      <c r="M50">
        <f>IF(C50="","",IF(ISNUMBER(K50),1,0))</f>
        <v/>
      </c>
      <c r="N50" t="inlineStr">
        <is>
          <t>Alveus Ultra Cuvee. Брют розовое — Фанагория — Розовое брют</t>
        </is>
      </c>
      <c r="O50" t="inlineStr">
        <is>
          <t>Alveus Ultra Cuvee. Экстра брют розовое — Фанагория — Розовое экстра брют</t>
        </is>
      </c>
      <c r="P50" t="inlineStr">
        <is>
          <t>Alveus Ultra Cuvee. Экстра брют белое — Фанагория — Белое экстра брют</t>
        </is>
      </c>
      <c r="Q50" t="inlineStr">
        <is>
          <t>Alveus Ultra Cuvee Brut — Фанагория — Белое брют</t>
        </is>
      </c>
      <c r="R50" t="inlineStr">
        <is>
          <t>Primum Alveus Brut 2016 — Фанагория — Белое брют</t>
        </is>
      </c>
      <c r="S50" s="3" t="n">
        <v>0.6991687417030334</v>
      </c>
      <c r="T50" s="3" t="n">
        <v>0.2003152072429657</v>
      </c>
      <c r="U50" t="n">
        <v>572.3</v>
      </c>
    </row>
    <row r="51">
      <c r="A51" t="inlineStr">
        <is>
          <t>95.36_28-08-2026_17-09-04.webp</t>
        </is>
      </c>
      <c r="B51" t="inlineStr">
        <is>
          <t>нет в каталоге</t>
        </is>
      </c>
      <c r="F51" t="inlineStr">
        <is>
          <t>winemaker-selection</t>
        </is>
      </c>
      <c r="G51" t="inlineStr">
        <is>
          <t>inkerman-shato-blan</t>
        </is>
      </c>
      <c r="H51" t="inlineStr">
        <is>
          <t>inkermanskiy-zmv-inkerman-polusladkoe-rkatsiteli-beloe-13</t>
        </is>
      </c>
      <c r="I51" t="inlineStr">
        <is>
          <t>inkermanskiy-zmv-inkerman-bryut-rkatsiteli-beloe-12</t>
        </is>
      </c>
      <c r="J51" t="inlineStr">
        <is>
          <t>inkermanskiy-zmv-winemakers-selection-saperavi-krasnoe-polusladkoe-12</t>
        </is>
      </c>
      <c r="K51">
        <f>IF(C51="","",IFERROR(MATCH(C51,F51:J51,0),"нет"))</f>
        <v/>
      </c>
      <c r="L51">
        <f>IF(C51="","",IF(K51=1,1,0))</f>
        <v/>
      </c>
      <c r="M51">
        <f>IF(C51="","",IF(ISNUMBER(K51),1,0))</f>
        <v/>
      </c>
      <c r="N51" t="inlineStr">
        <is>
          <t>Winemaker selection — Инкерманский ЗМВ — Белое полусухое</t>
        </is>
      </c>
      <c r="O51" t="inlineStr">
        <is>
          <t>Инкерман Шато Блан — Инкерманский ЗМВ — Белое полусухое</t>
        </is>
      </c>
      <c r="P51" t="inlineStr">
        <is>
          <t>Инкерман полусладкое — Инкерманский ЗМВ — Белое полусладкое</t>
        </is>
      </c>
      <c r="Q51" t="inlineStr">
        <is>
          <t>Инкерман Брют — Инкерманский ЗМВ — Белое брют</t>
        </is>
      </c>
      <c r="R51" t="inlineStr">
        <is>
          <t>Winemaker's Selection Саперави — Инкерманский ЗМВ — Красное полусладкое</t>
        </is>
      </c>
      <c r="S51" s="3" t="n">
        <v>0.999946117401123</v>
      </c>
      <c r="T51" s="3" t="n">
        <v>2.260207565996097e-06</v>
      </c>
      <c r="U51" t="n">
        <v>568.8</v>
      </c>
    </row>
    <row r="52">
      <c r="A52" t="inlineStr">
        <is>
          <t>95.49_05-09-2026_15-34-51.webp</t>
        </is>
      </c>
      <c r="B52" t="inlineStr">
        <is>
          <t>уверенно</t>
        </is>
      </c>
      <c r="C52" t="inlineStr">
        <is>
          <t>zhemchuzhnaya-9-pino-nuar-muskat-rozovyj-2</t>
        </is>
      </c>
      <c r="D52" t="inlineStr">
        <is>
          <t>Жемчужная 9 Пино нуар, Мускат Розовый — АРАТТИ — Розовое полусладкое</t>
        </is>
      </c>
      <c r="F52" t="inlineStr">
        <is>
          <t>zhemchuzhnaya-9-pino-nuar-muskat-rozovyj-2</t>
        </is>
      </c>
      <c r="G52" t="inlineStr">
        <is>
          <t>zhemchuzhnaya-9-pino-nuar-muskat-rozovyj-1</t>
        </is>
      </c>
      <c r="H52" t="inlineStr">
        <is>
          <t>zhemchuzhnaya-9-muskat-rozovyj-kaberne-sovinon</t>
        </is>
      </c>
      <c r="I52" t="inlineStr">
        <is>
          <t>zhemchuzhnaya-9-pino-nuar-muskat-rozovyj</t>
        </is>
      </c>
      <c r="J52" t="inlineStr">
        <is>
          <t>zhemchuzhnaya-9-muskat-rozovyj-pino-gri</t>
        </is>
      </c>
      <c r="K52">
        <f>IF(C52="","",IFERROR(MATCH(C52,F52:J52,0),"нет"))</f>
        <v/>
      </c>
      <c r="L52">
        <f>IF(C52="","",IF(K52=1,1,0))</f>
        <v/>
      </c>
      <c r="M52">
        <f>IF(C52="","",IF(ISNUMBER(K52),1,0))</f>
        <v/>
      </c>
      <c r="N52" t="inlineStr">
        <is>
          <t>Жемчужная 9 Пино нуар, Мускат Розовый — АРАТТИ — Розовое полусладкое</t>
        </is>
      </c>
      <c r="O52" t="inlineStr">
        <is>
          <t>Жемчужная 9 Пино Нуар, Мускат розовый — АРАТТИ — Розовое полусухое</t>
        </is>
      </c>
      <c r="P52" t="inlineStr">
        <is>
          <t>Жемчужная 9 Мускат Розовый, Каберне Совиньон — АРАТТИ — Розовое полусладкое</t>
        </is>
      </c>
      <c r="Q52" t="inlineStr">
        <is>
          <t>Жемчужная 9 Пино Нуар, Мускат Розовый — АРАТТИ — Розовое сухое</t>
        </is>
      </c>
      <c r="R52" t="inlineStr">
        <is>
          <t>Жемчужная 9 Мускат Розовый, Пино гри — АРАТТИ — Розовое сухое</t>
        </is>
      </c>
      <c r="S52" s="3" t="n">
        <v>0.9999998807907104</v>
      </c>
      <c r="T52" s="3" t="n">
        <v>3.653481783771895e-08</v>
      </c>
      <c r="U52" t="n">
        <v>553.7</v>
      </c>
    </row>
    <row r="53">
      <c r="A53" t="inlineStr">
        <is>
          <t>95.63_24-08-2026_17-47-43.webp</t>
        </is>
      </c>
      <c r="B53" t="inlineStr">
        <is>
          <t>уверенно</t>
        </is>
      </c>
      <c r="C53" t="inlineStr">
        <is>
          <t>rubin-golodrigi</t>
        </is>
      </c>
      <c r="D53" t="inlineStr">
        <is>
          <t>Рубин Голодриги  — Табия — Красное сухое</t>
        </is>
      </c>
      <c r="F53" t="inlineStr">
        <is>
          <t>rubin-golodrigi</t>
        </is>
      </c>
      <c r="G53" t="inlineStr">
        <is>
          <t>kaberne-sovinon-2</t>
        </is>
      </c>
      <c r="H53" t="inlineStr">
        <is>
          <t>bukovinka</t>
        </is>
      </c>
      <c r="I53" t="inlineStr">
        <is>
          <t>roze-2</t>
        </is>
      </c>
      <c r="J53" t="inlineStr">
        <is>
          <t>rozovoe-zoloto</t>
        </is>
      </c>
      <c r="K53">
        <f>IF(C53="","",IFERROR(MATCH(C53,F53:J53,0),"нет"))</f>
        <v/>
      </c>
      <c r="L53">
        <f>IF(C53="","",IF(K53=1,1,0))</f>
        <v/>
      </c>
      <c r="M53">
        <f>IF(C53="","",IF(ISNUMBER(K53),1,0))</f>
        <v/>
      </c>
      <c r="N53" t="inlineStr">
        <is>
          <t>Рубин Голодриги  — Табия — Красное сухое</t>
        </is>
      </c>
      <c r="O53" t="inlineStr">
        <is>
          <t>Каберне Совиньон — Табия — Красное сухое</t>
        </is>
      </c>
      <c r="P53" t="inlineStr">
        <is>
          <t>Буковинка — Табия — Белое полусухое</t>
        </is>
      </c>
      <c r="Q53" t="inlineStr">
        <is>
          <t>Розе — Табия — Розовое сухое</t>
        </is>
      </c>
      <c r="R53" t="inlineStr">
        <is>
          <t>Розовое золото — Табия — Розовое полусухое</t>
        </is>
      </c>
      <c r="S53" s="3" t="n">
        <v>0.9999998807907104</v>
      </c>
      <c r="T53" s="3" t="n">
        <v>1.95556797422114e-08</v>
      </c>
      <c r="U53" t="n">
        <v>551.9</v>
      </c>
    </row>
    <row r="54">
      <c r="A54" t="inlineStr">
        <is>
          <t>95.75_02-09-2026_14-47-49.webp</t>
        </is>
      </c>
      <c r="B54" t="inlineStr">
        <is>
          <t>уверенно</t>
        </is>
      </c>
      <c r="C54" t="inlineStr">
        <is>
          <t>uva-vallis-risling</t>
        </is>
      </c>
      <c r="D54" t="inlineStr">
        <is>
          <t>Uva Vallis Рислинг — Uva Vallis — Красное сухое</t>
        </is>
      </c>
      <c r="F54" t="inlineStr">
        <is>
          <t>uva-vallis-risling</t>
        </is>
      </c>
      <c r="G54" t="inlineStr">
        <is>
          <t>uva-vallis-shardone</t>
        </is>
      </c>
      <c r="H54" t="inlineStr">
        <is>
          <t>agora-rosa-viva-riesling</t>
        </is>
      </c>
      <c r="I54" t="inlineStr">
        <is>
          <t>uva-vallis-sovinon-blan</t>
        </is>
      </c>
      <c r="J54" t="inlineStr">
        <is>
          <t>uva-vallis-sira</t>
        </is>
      </c>
      <c r="K54">
        <f>IF(C54="","",IFERROR(MATCH(C54,F54:J54,0),"нет"))</f>
        <v/>
      </c>
      <c r="L54">
        <f>IF(C54="","",IF(K54=1,1,0))</f>
        <v/>
      </c>
      <c r="M54">
        <f>IF(C54="","",IF(ISNUMBER(K54),1,0))</f>
        <v/>
      </c>
      <c r="N54" t="inlineStr">
        <is>
          <t>Uva Vallis Рислинг — Uva Vallis — Красное сухое</t>
        </is>
      </c>
      <c r="O54" t="inlineStr">
        <is>
          <t>Uva Vallis Шардоне — Uva Vallis — Белое сухое</t>
        </is>
      </c>
      <c r="P54" t="inlineStr">
        <is>
          <t>Agora ROSA VIVA Riesling — AGORA WINERY — Белое сухое</t>
        </is>
      </c>
      <c r="Q54" t="inlineStr">
        <is>
          <t>Uva Vallis Совиньон Блан — Uva Vallis — Белое сухое</t>
        </is>
      </c>
      <c r="R54" t="inlineStr">
        <is>
          <t>Uva Vallis Сира — Uva Vallis — Красное сухое</t>
        </is>
      </c>
      <c r="S54" s="3" t="n">
        <v>0.9907543659210205</v>
      </c>
      <c r="T54" s="3" t="n">
        <v>0.001912605832330883</v>
      </c>
      <c r="U54" t="n">
        <v>564.5</v>
      </c>
    </row>
    <row r="55">
      <c r="A55" t="inlineStr">
        <is>
          <t>95.76_23-08-2026_18-19-43.webp</t>
        </is>
      </c>
      <c r="B55" t="inlineStr">
        <is>
          <t>уверенно</t>
        </is>
      </c>
      <c r="C55" t="inlineStr">
        <is>
          <t>denisov_barynya_kurmyshi</t>
        </is>
      </c>
      <c r="D55" t="inlineStr">
        <is>
          <t>Барыня. Курмыши — Denisov Winery — Розовое сухое</t>
        </is>
      </c>
      <c r="F55" t="inlineStr">
        <is>
          <t>denisov_barynya_kurmyshi</t>
        </is>
      </c>
      <c r="G55" t="inlineStr">
        <is>
          <t>denisov_pereplyas_kurmyshi</t>
        </is>
      </c>
      <c r="H55" t="inlineStr">
        <is>
          <t>denisov-winery-assamblyazh-rubin-golodrigi-rozovoe-suhoe-12</t>
        </is>
      </c>
      <c r="I55" t="inlineStr">
        <is>
          <t>zakat-denisov-vajneri</t>
        </is>
      </c>
      <c r="J55" t="inlineStr">
        <is>
          <t>denisov_pino_noir_klaret</t>
        </is>
      </c>
      <c r="K55">
        <f>IF(C55="","",IFERROR(MATCH(C55,F55:J55,0),"нет"))</f>
        <v/>
      </c>
      <c r="L55">
        <f>IF(C55="","",IF(K55=1,1,0))</f>
        <v/>
      </c>
      <c r="M55">
        <f>IF(C55="","",IF(ISNUMBER(K55),1,0))</f>
        <v/>
      </c>
      <c r="N55" t="inlineStr">
        <is>
          <t>Барыня. Курмыши — Denisov Winery — Розовое сухое</t>
        </is>
      </c>
      <c r="O55" t="inlineStr">
        <is>
          <t>Перепляс. Курмыши — Denisov Winery — Розовое сухое</t>
        </is>
      </c>
      <c r="P55" t="inlineStr">
        <is>
          <t>Ассамбляж — Denisov Winery — Розовое сухое</t>
        </is>
      </c>
      <c r="Q55" t="inlineStr">
        <is>
          <t>Закат. Денисов Вайнери — Denisov Winery — Розовое сухое</t>
        </is>
      </c>
      <c r="R55" t="inlineStr">
        <is>
          <t>Пино Нуар кларет. Красная стрелка — Denisov Winery — Розовое сухое</t>
        </is>
      </c>
      <c r="S55" s="3" t="n">
        <v>0.6976501941680908</v>
      </c>
      <c r="T55" s="3" t="n">
        <v>0.1069881245493889</v>
      </c>
      <c r="U55" t="n">
        <v>555</v>
      </c>
    </row>
    <row r="56">
      <c r="A56" t="inlineStr">
        <is>
          <t>95.88_02-09-2026_14-41-59.webp</t>
        </is>
      </c>
      <c r="B56" t="inlineStr">
        <is>
          <t>уверенно</t>
        </is>
      </c>
      <c r="C56" t="inlineStr">
        <is>
          <t>fanagoriya-zelyonoe-vino-risling-tsitronnyy-magaracha-beloe-polusuhoe-11</t>
        </is>
      </c>
      <c r="D56" t="inlineStr">
        <is>
          <t>Зелёное вино. Рислинг - Цитронный Магарача — Фанагория — Белое полусухое</t>
        </is>
      </c>
      <c r="F56" t="inlineStr">
        <is>
          <t>fanagoriya-zelyonoe-vino-risling-tsitronnyy-magaracha-beloe-polusuhoe-11</t>
        </is>
      </c>
      <c r="G56" t="inlineStr">
        <is>
          <t>fanagoriya-zelyonoe-vino-risling-tsitronnyy-magaracha-merlo-rozovoe-polusuhoe-11</t>
        </is>
      </c>
      <c r="H56" t="inlineStr">
        <is>
          <t>fanagoriya-dekanter-riesling-2020-risling-reynskiy-beloe-suhoe-13</t>
        </is>
      </c>
      <c r="I56" t="inlineStr">
        <is>
          <t>fanagoriya-100-ottenkov-shardone-beloe-suhoe-14</t>
        </is>
      </c>
      <c r="J56" t="inlineStr">
        <is>
          <t>blagolyubov-stanichnoe-stanichnyy-beloe-suhoe-12</t>
        </is>
      </c>
      <c r="K56">
        <f>IF(C56="","",IFERROR(MATCH(C56,F56:J56,0),"нет"))</f>
        <v/>
      </c>
      <c r="L56">
        <f>IF(C56="","",IF(K56=1,1,0))</f>
        <v/>
      </c>
      <c r="M56">
        <f>IF(C56="","",IF(ISNUMBER(K56),1,0))</f>
        <v/>
      </c>
      <c r="N56" t="inlineStr">
        <is>
          <t>Зелёное вино. Рислинг - Цитронный Магарача — Фанагория — Белое полусухое</t>
        </is>
      </c>
      <c r="O56" t="inlineStr">
        <is>
          <t>Зелёное вино. Рислинг - Цитронный Магарача - Мерло — Фанагория — Розовое полусухое</t>
        </is>
      </c>
      <c r="P56" t="inlineStr">
        <is>
          <t>Декантер Riesling 2020 — Фанагория — Белое сухое</t>
        </is>
      </c>
      <c r="Q56" t="inlineStr">
        <is>
          <t>100 оттенков. Шардоне — Фанагория — Белое сухое</t>
        </is>
      </c>
      <c r="R56" t="inlineStr">
        <is>
          <t>Станичное — Благолюбов — Белое сухое</t>
        </is>
      </c>
      <c r="S56" s="3" t="n">
        <v>0.9999991655349731</v>
      </c>
      <c r="T56" s="3" t="n">
        <v>6.475946747741546e-07</v>
      </c>
      <c r="U56" t="n">
        <v>562.6</v>
      </c>
    </row>
    <row r="57">
      <c r="A57" t="inlineStr">
        <is>
          <t>95.8_19-08-2026_19-33-23.webp</t>
        </is>
      </c>
      <c r="B57" t="inlineStr">
        <is>
          <t>уверенно</t>
        </is>
      </c>
      <c r="C57" t="inlineStr">
        <is>
          <t>roze-2</t>
        </is>
      </c>
      <c r="D57" t="inlineStr">
        <is>
          <t>Розе — Табия — Розовое сухое</t>
        </is>
      </c>
      <c r="F57" t="inlineStr">
        <is>
          <t>roze-2</t>
        </is>
      </c>
      <c r="G57" t="inlineStr">
        <is>
          <t>rozovoe-zoloto</t>
        </is>
      </c>
      <c r="H57" t="inlineStr">
        <is>
          <t>oleg</t>
        </is>
      </c>
      <c r="I57" t="inlineStr">
        <is>
          <t>bukovinka</t>
        </is>
      </c>
      <c r="J57" t="inlineStr">
        <is>
          <t>rubin-golodrigi</t>
        </is>
      </c>
      <c r="K57">
        <f>IF(C57="","",IFERROR(MATCH(C57,F57:J57,0),"нет"))</f>
        <v/>
      </c>
      <c r="L57">
        <f>IF(C57="","",IF(K57=1,1,0))</f>
        <v/>
      </c>
      <c r="M57">
        <f>IF(C57="","",IF(ISNUMBER(K57),1,0))</f>
        <v/>
      </c>
      <c r="N57" t="inlineStr">
        <is>
          <t>Розе — Табия — Розовое сухое</t>
        </is>
      </c>
      <c r="O57" t="inlineStr">
        <is>
          <t>Розовое золото — Табия — Розовое полусухое</t>
        </is>
      </c>
      <c r="P57" t="inlineStr">
        <is>
          <t>Олег — Табия — Белое сухое</t>
        </is>
      </c>
      <c r="Q57" t="inlineStr">
        <is>
          <t>Буковинка — Табия — Белое полусухое</t>
        </is>
      </c>
      <c r="R57" t="inlineStr">
        <is>
          <t>Рубин Голодриги  — Табия — Красное сухое</t>
        </is>
      </c>
      <c r="S57" s="3" t="n">
        <v>0.9991987347602844</v>
      </c>
      <c r="T57" s="3" t="n">
        <v>0.0004303973983041942</v>
      </c>
      <c r="U57" t="n">
        <v>551.5</v>
      </c>
    </row>
    <row r="58">
      <c r="A58" t="inlineStr">
        <is>
          <t>95.8_19-08-2026_20-47-59.webp</t>
        </is>
      </c>
      <c r="B58" t="inlineStr">
        <is>
          <t>не уверен</t>
        </is>
      </c>
      <c r="C58" t="inlineStr">
        <is>
          <t>denisov-winery-sovinon-blan-beloe-suhoe-115</t>
        </is>
      </c>
      <c r="D58" t="inlineStr">
        <is>
          <t>Совиньон Блан — Denisov Winery — Белое сухое</t>
        </is>
      </c>
      <c r="E58" t="inlineStr">
        <is>
          <t>этикетка по цвету другая</t>
        </is>
      </c>
      <c r="F58" t="inlineStr">
        <is>
          <t>denisov-winery-sovinon-blan-beloe-suhoe-115</t>
        </is>
      </c>
      <c r="G58" t="inlineStr">
        <is>
          <t>dubinin-winery-sovinon-blan-beloe-suhoe-12</t>
        </is>
      </c>
      <c r="H58" t="inlineStr">
        <is>
          <t>sovinon-blan-krasnaya-gorka</t>
        </is>
      </c>
      <c r="I58" t="inlineStr">
        <is>
          <t>sovinon-blan</t>
        </is>
      </c>
      <c r="J58" t="inlineStr">
        <is>
          <t>blagolyubov-sovinon-blan-beloe-suhoe-125</t>
        </is>
      </c>
      <c r="K58">
        <f>IF(C58="","",IFERROR(MATCH(C58,F58:J58,0),"нет"))</f>
        <v/>
      </c>
      <c r="L58">
        <f>IF(C58="","",IF(K58=1,1,0))</f>
        <v/>
      </c>
      <c r="M58">
        <f>IF(C58="","",IF(ISNUMBER(K58),1,0))</f>
        <v/>
      </c>
      <c r="N58" t="inlineStr">
        <is>
          <t>Совиньон Блан — Denisov Winery — Белое сухое</t>
        </is>
      </c>
      <c r="O58" t="inlineStr">
        <is>
          <t>Совиньон Блан — Dubinin Winery — Белое сухое</t>
        </is>
      </c>
      <c r="P58" t="inlineStr">
        <is>
          <t>Совиньон Блан — Галицкий и Галицкий — Белое сухое</t>
        </is>
      </c>
      <c r="Q58" t="inlineStr">
        <is>
          <t>Совиньон Блан — Литавщук. Litavshchuk vineyards &amp; winery — Белое полусладкое</t>
        </is>
      </c>
      <c r="R58" t="inlineStr">
        <is>
          <t>Совиньон Блан — Благолюбов — Белое сухое</t>
        </is>
      </c>
      <c r="S58" s="3" t="n">
        <v>0.9999998807907104</v>
      </c>
      <c r="T58" s="3" t="n">
        <v>1.95556797422114e-08</v>
      </c>
      <c r="U58" t="n">
        <v>563</v>
      </c>
    </row>
    <row r="59">
      <c r="A59" t="inlineStr">
        <is>
          <t>96.05_28-08-2026_09-14-57.webp</t>
        </is>
      </c>
      <c r="B59" t="inlineStr">
        <is>
          <t>нет в каталоге</t>
        </is>
      </c>
      <c r="F59" t="inlineStr">
        <is>
          <t>usadba-divnomorskoe-yuzhnyy-les-merlo-krasnoe-suhoe-137</t>
        </is>
      </c>
      <c r="G59" t="inlineStr">
        <is>
          <t>usadba-divnomorskoe-solnechnyy-veter-shardone-beloe-suhoe-125</t>
        </is>
      </c>
      <c r="H59" t="inlineStr">
        <is>
          <t>usadba-divnomorskoe-holodnyy-tuman-risling-beloe-suhoe-115</t>
        </is>
      </c>
      <c r="I59" t="inlineStr">
        <is>
          <t>usadba-divnomorskoe-solist-marselan-rozovoe-suhoe-115</t>
        </is>
      </c>
      <c r="J59" t="inlineStr">
        <is>
          <t>vinodelnya-vedernikov-vedernikov-krasnostop-zolotovskiy-magnum-krasnoe-suhoe-145</t>
        </is>
      </c>
      <c r="K59">
        <f>IF(C59="","",IFERROR(MATCH(C59,F59:J59,0),"нет"))</f>
        <v/>
      </c>
      <c r="L59">
        <f>IF(C59="","",IF(K59=1,1,0))</f>
        <v/>
      </c>
      <c r="M59">
        <f>IF(C59="","",IF(ISNUMBER(K59),1,0))</f>
        <v/>
      </c>
      <c r="N59" t="inlineStr">
        <is>
          <t>Южный Лес — Усадьба Дивноморское — Красное сухое</t>
        </is>
      </c>
      <c r="O59" t="inlineStr">
        <is>
          <t>Солнечный Ветер — Усадьба Дивноморское — Белое сухое</t>
        </is>
      </c>
      <c r="P59" t="inlineStr">
        <is>
          <t>Холодный Туман — Усадьба Дивноморское — Белое сухое</t>
        </is>
      </c>
      <c r="Q59" t="inlineStr">
        <is>
          <t>Солист — Усадьба Дивноморское — Розовое сухое</t>
        </is>
      </c>
      <c r="R59" t="inlineStr">
        <is>
          <t>Ведерниковъ Красностоп Золотовский (магнум) — Ведерниковъ — Красное сухое</t>
        </is>
      </c>
      <c r="S59" s="3" t="n">
        <v>0.9959959983825684</v>
      </c>
      <c r="T59" s="3" t="n">
        <v>0.00359212257899344</v>
      </c>
      <c r="U59" t="n">
        <v>565.3</v>
      </c>
    </row>
    <row r="60">
      <c r="A60" t="inlineStr">
        <is>
          <t>96.07_28-08-2026_16-10-06.webp</t>
        </is>
      </c>
      <c r="B60" t="inlineStr">
        <is>
          <t>уверенно</t>
        </is>
      </c>
      <c r="C60" t="inlineStr">
        <is>
          <t>golubitskoe-estate-kaberne-sovinon-krasnoe-suhoe-137</t>
        </is>
      </c>
      <c r="D60" t="inlineStr">
        <is>
          <t>Каберне Совиньон — Golubitskoe Estate — Красное сухое</t>
        </is>
      </c>
      <c r="F60" t="inlineStr">
        <is>
          <t>golubitskoe-estate-kaberne-sovinon-krasnoe-suhoe-137</t>
        </is>
      </c>
      <c r="G60" t="inlineStr">
        <is>
          <t>golubitskoe-estate-red-blend-kaberne-sovinon-krasnoe-suhoe-136</t>
        </is>
      </c>
      <c r="H60" t="inlineStr">
        <is>
          <t>pomeste-golubitskoe-kaberne-sovinon-rezerv-krasnoe-suhoe-143</t>
        </is>
      </c>
      <c r="I60" t="inlineStr">
        <is>
          <t>golubitskoe-estate-kaberne-sovinon-rezerv-krasnoe-suhoe-125</t>
        </is>
      </c>
      <c r="J60" t="inlineStr">
        <is>
          <t>golubitskoe-estate-sovinon-blan-beloe-suhoe-11</t>
        </is>
      </c>
      <c r="K60">
        <f>IF(C60="","",IFERROR(MATCH(C60,F60:J60,0),"нет"))</f>
        <v/>
      </c>
      <c r="L60">
        <f>IF(C60="","",IF(K60=1,1,0))</f>
        <v/>
      </c>
      <c r="M60">
        <f>IF(C60="","",IF(ISNUMBER(K60),1,0))</f>
        <v/>
      </c>
      <c r="N60" t="inlineStr">
        <is>
          <t>Каберне Совиньон — Golubitskoe Estate — Красное сухое</t>
        </is>
      </c>
      <c r="O60" t="inlineStr">
        <is>
          <t>Red Blend — Golubitskoe Estate — Красное сухое</t>
        </is>
      </c>
      <c r="P60" t="inlineStr">
        <is>
          <t>Каберне Совиньон Резерв — Golubitskoe Estate — Красное сухое</t>
        </is>
      </c>
      <c r="Q60" t="inlineStr">
        <is>
          <t>Каберне Совиньон Резерв — Golubitskoe Estate — Красное сухое</t>
        </is>
      </c>
      <c r="R60" t="inlineStr">
        <is>
          <t>Совиньон Блан — Golubitskoe Estate — Белое сухое</t>
        </is>
      </c>
      <c r="S60" s="3" t="n">
        <v>0.9999977350234985</v>
      </c>
      <c r="T60" s="3" t="n">
        <v>2.38236424365823e-07</v>
      </c>
      <c r="U60" t="n">
        <v>553</v>
      </c>
    </row>
    <row r="61">
      <c r="A61" t="inlineStr">
        <is>
          <t>96.08_22-08-2026_15-12-27.webp</t>
        </is>
      </c>
      <c r="B61" t="inlineStr">
        <is>
          <t>уверенно</t>
        </is>
      </c>
      <c r="C61" t="inlineStr">
        <is>
          <t>zhemchuzhnaya-9-czitron-shardone-1</t>
        </is>
      </c>
      <c r="D61" t="inlineStr">
        <is>
          <t>Жемчужная 9 Цитрон, Шардоне — АРАТТИ — Белое полусладкое</t>
        </is>
      </c>
      <c r="F61" t="inlineStr">
        <is>
          <t>zhemchuzhnaya-9-czitron-shardone-1</t>
        </is>
      </c>
      <c r="G61" t="inlineStr">
        <is>
          <t>zhemchuzhnaya-9-czitron-shardone</t>
        </is>
      </c>
      <c r="H61" t="inlineStr">
        <is>
          <t>czitronnyj-magaracha-sovinon-blan</t>
        </is>
      </c>
      <c r="I61" t="inlineStr">
        <is>
          <t>zhemchuzhnaya-9-aligote-czitron</t>
        </is>
      </c>
      <c r="J61" t="inlineStr">
        <is>
          <t>zhemchuzhnaya-9-risling-sovinon-blan</t>
        </is>
      </c>
      <c r="K61">
        <f>IF(C61="","",IFERROR(MATCH(C61,F61:J61,0),"нет"))</f>
        <v/>
      </c>
      <c r="L61">
        <f>IF(C61="","",IF(K61=1,1,0))</f>
        <v/>
      </c>
      <c r="M61">
        <f>IF(C61="","",IF(ISNUMBER(K61),1,0))</f>
        <v/>
      </c>
      <c r="N61" t="inlineStr">
        <is>
          <t>Жемчужная 9 Цитрон, Шардоне — АРАТТИ — Белое полусладкое</t>
        </is>
      </c>
      <c r="O61" t="inlineStr">
        <is>
          <t>Жемчужная 9 Цитрон, Шардоне — АРАТТИ — Белое сухое</t>
        </is>
      </c>
      <c r="P61" t="inlineStr">
        <is>
          <t>Жемчужная 9 Цитрон, Совиньон блан — АРАТТИ — Белое полусухое</t>
        </is>
      </c>
      <c r="Q61" t="inlineStr">
        <is>
          <t>Жемчужная 9 Алиготе, Цитрон — АРАТТИ — Белое сухое</t>
        </is>
      </c>
      <c r="R61" t="inlineStr">
        <is>
          <t>Жемчужная 9 Рислинг,Совиньон блан — АРАТТИ — Белое полусухое</t>
        </is>
      </c>
      <c r="S61" s="3" t="n">
        <v>0.9999997615814209</v>
      </c>
      <c r="T61" s="3" t="n">
        <v>5.315784079584773e-08</v>
      </c>
      <c r="U61" t="n">
        <v>547.1</v>
      </c>
    </row>
    <row r="62">
      <c r="A62" t="inlineStr">
        <is>
          <t>96.08_28-08-2026_16-29-50.webp</t>
        </is>
      </c>
      <c r="B62" t="inlineStr">
        <is>
          <t>уверенно</t>
        </is>
      </c>
      <c r="C62" t="inlineStr">
        <is>
          <t>golubitskoe-estate-merlo-krasnoe-suhoe-135</t>
        </is>
      </c>
      <c r="D62" t="inlineStr">
        <is>
          <t>Мерло — Golubitskoe Estate — Красное сухое</t>
        </is>
      </c>
      <c r="F62" t="inlineStr">
        <is>
          <t>golubitskoe-estate-merlo-krasnoe-suhoe-135</t>
        </is>
      </c>
      <c r="G62" t="inlineStr">
        <is>
          <t>golubitskoe-estate-merlo-rezerv-krasnoe-suhoe-135</t>
        </is>
      </c>
      <c r="H62" t="inlineStr">
        <is>
          <t>golubitskoe-estate-red-blend-kaberne-sovinon-krasnoe-suhoe-136</t>
        </is>
      </c>
      <c r="I62" t="inlineStr">
        <is>
          <t>golubitskoe-estate-pino-nuar-rezerv-krasnoe-suhoe-132</t>
        </is>
      </c>
      <c r="J62" t="inlineStr">
        <is>
          <t>pomeste-golubitskoe-kaberne-sovinon-rezerv-krasnoe-suhoe-143</t>
        </is>
      </c>
      <c r="K62">
        <f>IF(C62="","",IFERROR(MATCH(C62,F62:J62,0),"нет"))</f>
        <v/>
      </c>
      <c r="L62">
        <f>IF(C62="","",IF(K62=1,1,0))</f>
        <v/>
      </c>
      <c r="M62">
        <f>IF(C62="","",IF(ISNUMBER(K62),1,0))</f>
        <v/>
      </c>
      <c r="N62" t="inlineStr">
        <is>
          <t>Мерло — Golubitskoe Estate — Красное сухое</t>
        </is>
      </c>
      <c r="O62" t="inlineStr">
        <is>
          <t>Мерло Резерв — Golubitskoe Estate — Красное сухое</t>
        </is>
      </c>
      <c r="P62" t="inlineStr">
        <is>
          <t>Red Blend — Golubitskoe Estate — Красное сухое</t>
        </is>
      </c>
      <c r="Q62" t="inlineStr">
        <is>
          <t>Пино Нуар Резерв — Golubitskoe Estate — Красное сухое</t>
        </is>
      </c>
      <c r="R62" t="inlineStr">
        <is>
          <t>Каберне Совиньон Резерв — Golubitskoe Estate — Красное сухое</t>
        </is>
      </c>
      <c r="S62" s="3" t="n">
        <v>0.9999994039535522</v>
      </c>
      <c r="T62" s="3" t="n">
        <v>3.466325608769694e-07</v>
      </c>
      <c r="U62" t="n">
        <v>554</v>
      </c>
    </row>
    <row r="63">
      <c r="A63" t="inlineStr">
        <is>
          <t>96.11_22-08-2026_21-29-20.webp</t>
        </is>
      </c>
      <c r="B63" t="inlineStr">
        <is>
          <t>нет в каталоге</t>
        </is>
      </c>
      <c r="F63" t="inlineStr">
        <is>
          <t>abrau-dyurso-imperatorskoe-bryut-shardone-beloe-12</t>
        </is>
      </c>
      <c r="G63" t="inlineStr">
        <is>
          <t>aristov-anima-millesimato-beloe-bryut</t>
        </is>
      </c>
      <c r="H63" t="inlineStr">
        <is>
          <t>abrau-dyurso-udelnoe-vedomstvo-imperatorskoe-beloe-bryut</t>
        </is>
      </c>
      <c r="I63" t="inlineStr">
        <is>
          <t>abrau-dyurso-imperial-brut-vintage-shardone-beloe-bryut-12</t>
        </is>
      </c>
      <c r="J63" t="inlineStr">
        <is>
          <t>aristov-anima-pinot-grigio-blush</t>
        </is>
      </c>
      <c r="K63">
        <f>IF(C63="","",IFERROR(MATCH(C63,F63:J63,0),"нет"))</f>
        <v/>
      </c>
      <c r="L63">
        <f>IF(C63="","",IF(K63=1,1,0))</f>
        <v/>
      </c>
      <c r="M63">
        <f>IF(C63="","",IF(ISNUMBER(K63),1,0))</f>
        <v/>
      </c>
      <c r="N63" t="inlineStr">
        <is>
          <t>Императорское брют — Абрау-Дюрсо — Белое брют</t>
        </is>
      </c>
      <c r="O63" t="inlineStr">
        <is>
          <t>Аристов ANIMA Millesimato белое брют — Кубань-Вино — Белое брют</t>
        </is>
      </c>
      <c r="P63" t="inlineStr">
        <is>
          <t>Абрау Дюрсо Удельное Ведомство Императорское белое брют — Абрау-Дюрсо — Белое брют</t>
        </is>
      </c>
      <c r="Q63" t="inlineStr">
        <is>
          <t>Империал. Brut Vintage — Абрау-Дюрсо — Белое брют</t>
        </is>
      </c>
      <c r="R63" t="inlineStr">
        <is>
          <t>Аристов Anima Pinot Grigio Blush — Кубань-Вино — Розовое брют</t>
        </is>
      </c>
      <c r="S63" s="3" t="n">
        <v>0.2968278229236603</v>
      </c>
      <c r="T63" s="3" t="n">
        <v>0.6283844709396362</v>
      </c>
      <c r="U63" t="n">
        <v>586.2</v>
      </c>
    </row>
    <row r="64">
      <c r="A64" t="inlineStr">
        <is>
          <t>96.13_19-08-2026_19-33-10.webp</t>
        </is>
      </c>
      <c r="B64" t="inlineStr">
        <is>
          <t>уверенно</t>
        </is>
      </c>
      <c r="C64" t="inlineStr">
        <is>
          <t>roze-2</t>
        </is>
      </c>
      <c r="D64" t="inlineStr">
        <is>
          <t>Розе — Табия — Розовое сухое</t>
        </is>
      </c>
      <c r="F64" t="inlineStr">
        <is>
          <t>roze-2</t>
        </is>
      </c>
      <c r="G64" t="inlineStr">
        <is>
          <t>kaberne-sovinon-2</t>
        </is>
      </c>
      <c r="H64" t="inlineStr">
        <is>
          <t>rozovoe-zoloto</t>
        </is>
      </c>
      <c r="I64" t="inlineStr">
        <is>
          <t>oleg</t>
        </is>
      </c>
      <c r="J64" t="inlineStr">
        <is>
          <t>bukovinka</t>
        </is>
      </c>
      <c r="K64">
        <f>IF(C64="","",IFERROR(MATCH(C64,F64:J64,0),"нет"))</f>
        <v/>
      </c>
      <c r="L64">
        <f>IF(C64="","",IF(K64=1,1,0))</f>
        <v/>
      </c>
      <c r="M64">
        <f>IF(C64="","",IF(ISNUMBER(K64),1,0))</f>
        <v/>
      </c>
      <c r="N64" t="inlineStr">
        <is>
          <t>Розе — Табия — Розовое сухое</t>
        </is>
      </c>
      <c r="O64" t="inlineStr">
        <is>
          <t>Каберне Совиньон — Табия — Красное сухое</t>
        </is>
      </c>
      <c r="P64" t="inlineStr">
        <is>
          <t>Розовое золото — Табия — Розовое полусухое</t>
        </is>
      </c>
      <c r="Q64" t="inlineStr">
        <is>
          <t>Олег — Табия — Белое сухое</t>
        </is>
      </c>
      <c r="R64" t="inlineStr">
        <is>
          <t>Буковинка — Табия — Белое полусухое</t>
        </is>
      </c>
      <c r="S64" s="3" t="n">
        <v>0.9993453621864319</v>
      </c>
      <c r="T64" s="3" t="n">
        <v>7.884160368121229e-06</v>
      </c>
      <c r="U64" t="n">
        <v>479.4</v>
      </c>
    </row>
    <row r="65">
      <c r="A65" t="inlineStr">
        <is>
          <t>96.15_22-08-2026_20-56-09.webp</t>
        </is>
      </c>
      <c r="B65" t="inlineStr">
        <is>
          <t>уверенно</t>
        </is>
      </c>
      <c r="C65" t="inlineStr">
        <is>
          <t>roze-2</t>
        </is>
      </c>
      <c r="D65" t="inlineStr">
        <is>
          <t>Розе — Табия — Розовое сухое</t>
        </is>
      </c>
      <c r="F65" t="inlineStr">
        <is>
          <t>roze-2</t>
        </is>
      </c>
      <c r="G65" t="inlineStr">
        <is>
          <t>rozovoe-zoloto</t>
        </is>
      </c>
      <c r="H65" t="inlineStr">
        <is>
          <t>oleg</t>
        </is>
      </c>
      <c r="I65" t="inlineStr">
        <is>
          <t>bukovinka</t>
        </is>
      </c>
      <c r="J65" t="inlineStr">
        <is>
          <t>rubin-golodrigi</t>
        </is>
      </c>
      <c r="K65">
        <f>IF(C65="","",IFERROR(MATCH(C65,F65:J65,0),"нет"))</f>
        <v/>
      </c>
      <c r="L65">
        <f>IF(C65="","",IF(K65=1,1,0))</f>
        <v/>
      </c>
      <c r="M65">
        <f>IF(C65="","",IF(ISNUMBER(K65),1,0))</f>
        <v/>
      </c>
      <c r="N65" t="inlineStr">
        <is>
          <t>Розе — Табия — Розовое сухое</t>
        </is>
      </c>
      <c r="O65" t="inlineStr">
        <is>
          <t>Розовое золото — Табия — Розовое полусухое</t>
        </is>
      </c>
      <c r="P65" t="inlineStr">
        <is>
          <t>Олег — Табия — Белое сухое</t>
        </is>
      </c>
      <c r="Q65" t="inlineStr">
        <is>
          <t>Буковинка — Табия — Белое полусухое</t>
        </is>
      </c>
      <c r="R65" t="inlineStr">
        <is>
          <t>Рубин Голодриги  — Табия — Красное сухое</t>
        </is>
      </c>
      <c r="S65" s="3" t="n">
        <v>0.999468982219696</v>
      </c>
      <c r="T65" s="3" t="n">
        <v>0.0004305138136260211</v>
      </c>
      <c r="U65" t="n">
        <v>562</v>
      </c>
    </row>
    <row r="66">
      <c r="A66" t="inlineStr">
        <is>
          <t>96.27_20-08-2026_16-26-30.webp</t>
        </is>
      </c>
      <c r="B66" t="inlineStr">
        <is>
          <t>уверенно</t>
        </is>
      </c>
      <c r="C66" t="inlineStr">
        <is>
          <t>zhemchuzhnaya-9-pino-nuar-muskat-rozovyj-1</t>
        </is>
      </c>
      <c r="D66" t="inlineStr">
        <is>
          <t>Жемчужная 9 Пино Нуар, Мускат розовый — АРАТТИ — Розовое полусухое</t>
        </is>
      </c>
      <c r="F66" t="inlineStr">
        <is>
          <t>zhemchuzhnaya-9-pino-nuar-muskat-rozovyj-1</t>
        </is>
      </c>
      <c r="G66" t="inlineStr">
        <is>
          <t>zhemchuzhnaya-9-pino-nuar-muskat-rozovyj</t>
        </is>
      </c>
      <c r="H66" t="inlineStr">
        <is>
          <t>zhemchuzhnaya-9-pino-nuar-muskat-rozovyj-2</t>
        </is>
      </c>
      <c r="I66" t="inlineStr">
        <is>
          <t>zhemchuzhnaya-9-muskat-rozovyj-pino-gri</t>
        </is>
      </c>
      <c r="J66" t="inlineStr">
        <is>
          <t>zhemchuzhnaya-9-muskat-rozovyj-kaberne-sovinon</t>
        </is>
      </c>
      <c r="K66">
        <f>IF(C66="","",IFERROR(MATCH(C66,F66:J66,0),"нет"))</f>
        <v/>
      </c>
      <c r="L66">
        <f>IF(C66="","",IF(K66=1,1,0))</f>
        <v/>
      </c>
      <c r="M66">
        <f>IF(C66="","",IF(ISNUMBER(K66),1,0))</f>
        <v/>
      </c>
      <c r="N66" t="inlineStr">
        <is>
          <t>Жемчужная 9 Пино Нуар, Мускат розовый — АРАТТИ — Розовое полусухое</t>
        </is>
      </c>
      <c r="O66" t="inlineStr">
        <is>
          <t>Жемчужная 9 Пино Нуар, Мускат Розовый — АРАТТИ — Розовое сухое</t>
        </is>
      </c>
      <c r="P66" t="inlineStr">
        <is>
          <t>Жемчужная 9 Пино нуар, Мускат Розовый — АРАТТИ — Розовое полусладкое</t>
        </is>
      </c>
      <c r="Q66" t="inlineStr">
        <is>
          <t>Жемчужная 9 Мускат Розовый, Пино гри — АРАТТИ — Розовое сухое</t>
        </is>
      </c>
      <c r="R66" t="inlineStr">
        <is>
          <t>Жемчужная 9 Мускат Розовый, Каберне Совиньон — АРАТТИ — Розовое полусладкое</t>
        </is>
      </c>
      <c r="S66" s="3" t="n">
        <v>0.9999991655349731</v>
      </c>
      <c r="T66" s="3" t="n">
        <v>6.82559786469028e-08</v>
      </c>
      <c r="U66" t="n">
        <v>564.8</v>
      </c>
    </row>
    <row r="67">
      <c r="A67" t="inlineStr">
        <is>
          <t>96.29_21-08-2026_19-39-02.webp</t>
        </is>
      </c>
      <c r="B67" t="inlineStr">
        <is>
          <t>не уверен</t>
        </is>
      </c>
      <c r="C67" t="inlineStr">
        <is>
          <t>denisov-winery-sovinon-blan-beloe-suhoe-115</t>
        </is>
      </c>
      <c r="D67" t="inlineStr">
        <is>
          <t>Совиньон Блан — Denisov Winery — Белое сухое</t>
        </is>
      </c>
      <c r="E67" t="inlineStr">
        <is>
          <t>этикетка немного другая. в slug черная, а на фото белая</t>
        </is>
      </c>
      <c r="F67" t="inlineStr">
        <is>
          <t>denisov-winery-sovinon-blan-beloe-suhoe-115</t>
        </is>
      </c>
      <c r="G67" t="inlineStr">
        <is>
          <t>dubinin-winery-sovinon-blan-beloe-suhoe-12</t>
        </is>
      </c>
      <c r="H67" t="inlineStr">
        <is>
          <t>zhemchuzhnaya-9-sovinon-blan-aligote</t>
        </is>
      </c>
      <c r="I67" t="inlineStr">
        <is>
          <t>vinodelnya-myshako-sovinon-blan-avtorskaya-tehnologiya-mono-beloe-suhoe-128</t>
        </is>
      </c>
      <c r="J67" t="inlineStr">
        <is>
          <t>blagolyubov-sovinon-blan-beloe-suhoe-125</t>
        </is>
      </c>
      <c r="K67">
        <f>IF(C67="","",IFERROR(MATCH(C67,F67:J67,0),"нет"))</f>
        <v/>
      </c>
      <c r="L67">
        <f>IF(C67="","",IF(K67=1,1,0))</f>
        <v/>
      </c>
      <c r="M67">
        <f>IF(C67="","",IF(ISNUMBER(K67),1,0))</f>
        <v/>
      </c>
      <c r="N67" t="inlineStr">
        <is>
          <t>Совиньон Блан — Denisov Winery — Белое сухое</t>
        </is>
      </c>
      <c r="O67" t="inlineStr">
        <is>
          <t>Совиньон Блан — Dubinin Winery — Белое сухое</t>
        </is>
      </c>
      <c r="P67" t="inlineStr">
        <is>
          <t>Жемчужная 9 Совиньон блан, Алиготе — АРАТТИ — Белое сухое</t>
        </is>
      </c>
      <c r="Q67" t="inlineStr">
        <is>
          <t>Совиньон Блан. Авторская технология. Моно — Мысхако — Белое сухое</t>
        </is>
      </c>
      <c r="R67" t="inlineStr">
        <is>
          <t>Совиньон Блан — Благолюбов — Белое сухое</t>
        </is>
      </c>
      <c r="S67" s="3" t="n">
        <v>0.9999996423721313</v>
      </c>
      <c r="T67" s="3" t="n">
        <v>1.637376527696688e-07</v>
      </c>
      <c r="U67" t="n">
        <v>592.6</v>
      </c>
    </row>
    <row r="68">
      <c r="A68" t="inlineStr">
        <is>
          <t>96.2_28-08-2026_09-13-27.webp</t>
        </is>
      </c>
      <c r="B68" t="inlineStr">
        <is>
          <t>нет в каталоге</t>
        </is>
      </c>
      <c r="F68" t="inlineStr">
        <is>
          <t>usadba-divnomorskoe-yuzhnyy-les-merlo-krasnoe-suhoe-137</t>
        </is>
      </c>
      <c r="G68" t="inlineStr">
        <is>
          <t>usadba-divnomorskoe-solnechnyy-veter-shardone-beloe-suhoe-125</t>
        </is>
      </c>
      <c r="H68" t="inlineStr">
        <is>
          <t>usadba-divnomorskoe-holodnyy-tuman-risling-beloe-suhoe-115</t>
        </is>
      </c>
      <c r="I68" t="inlineStr">
        <is>
          <t>usadba-divnomorskoe-solist-marselan-rozovoe-suhoe-115</t>
        </is>
      </c>
      <c r="J68" t="inlineStr">
        <is>
          <t>vinodelnya-vedernikov-vedernikov-tsimlyanskiy-chyornyy-tsimlyanskiy-chernyy-krasnoe-suhoe-14</t>
        </is>
      </c>
      <c r="K68">
        <f>IF(C68="","",IFERROR(MATCH(C68,F68:J68,0),"нет"))</f>
        <v/>
      </c>
      <c r="L68">
        <f>IF(C68="","",IF(K68=1,1,0))</f>
        <v/>
      </c>
      <c r="M68">
        <f>IF(C68="","",IF(ISNUMBER(K68),1,0))</f>
        <v/>
      </c>
      <c r="N68" t="inlineStr">
        <is>
          <t>Южный Лес — Усадьба Дивноморское — Красное сухое</t>
        </is>
      </c>
      <c r="O68" t="inlineStr">
        <is>
          <t>Солнечный Ветер — Усадьба Дивноморское — Белое сухое</t>
        </is>
      </c>
      <c r="P68" t="inlineStr">
        <is>
          <t>Холодный Туман — Усадьба Дивноморское — Белое сухое</t>
        </is>
      </c>
      <c r="Q68" t="inlineStr">
        <is>
          <t>Солист — Усадьба Дивноморское — Розовое сухое</t>
        </is>
      </c>
      <c r="R68" t="inlineStr">
        <is>
          <t>Ведерниковъ Цимлянский Чёрный — Ведерниковъ — Красное сухое</t>
        </is>
      </c>
      <c r="S68" s="3" t="n">
        <v>0.9998501539230347</v>
      </c>
      <c r="T68" s="3" t="n">
        <v>0.000139820680487901</v>
      </c>
      <c r="U68" t="n">
        <v>548.6</v>
      </c>
    </row>
    <row r="69">
      <c r="A69" t="inlineStr">
        <is>
          <t>96.2_28-08-2026_19-25-29.webp</t>
        </is>
      </c>
      <c r="B69" t="inlineStr">
        <is>
          <t>нет в каталоге</t>
        </is>
      </c>
      <c r="F69" t="inlineStr">
        <is>
          <t>derbent-vino-graf-vorontsov-bryut-beloe-sovinon-blan-105-125</t>
        </is>
      </c>
      <c r="G69" t="inlineStr">
        <is>
          <t>novyy-svet-dom-shampanskih-vin-rossiyskoe-shampanskoe-kollektsionnoe-bryut-beloe-novyy-svet-yubileynoe-risling-13</t>
        </is>
      </c>
      <c r="H69" t="inlineStr">
        <is>
          <t>novyy-svet-dom-shampanskih-vin-rossiyskoe-shampanskoe-kollektsionnoe-bryut-beloe-novyy-svet-zolotoy-risling-suhoe-13</t>
        </is>
      </c>
      <c r="I69" t="inlineStr">
        <is>
          <t>derbent-vino-graf-vorontsov-beloe-polusladkoe-sovinon-blan-105-125</t>
        </is>
      </c>
      <c r="J69" t="inlineStr">
        <is>
          <t>derbent-vino-graf-vorontsov-bryut-rozovoe-pervenets-magaracha-105-125</t>
        </is>
      </c>
      <c r="K69">
        <f>IF(C69="","",IFERROR(MATCH(C69,F69:J69,0),"нет"))</f>
        <v/>
      </c>
      <c r="L69">
        <f>IF(C69="","",IF(K69=1,1,0))</f>
        <v/>
      </c>
      <c r="M69">
        <f>IF(C69="","",IF(ISNUMBER(K69),1,0))</f>
        <v/>
      </c>
      <c r="N69" t="inlineStr">
        <is>
          <t>Граф Воронцов. Брют белое — Дербент Вино — Белое брют</t>
        </is>
      </c>
      <c r="O69" t="inlineStr">
        <is>
          <t>Российское шампанское коллекционное брют белое «Новый Свет. Юбилейное» — Новый Свет. Дом шампанских вин — Белое брют</t>
        </is>
      </c>
      <c r="P69" t="inlineStr">
        <is>
          <t>Российское шампанское коллекционное брют белое «Новый Свет. Золотой Рислинг» — Новый Свет. Дом шампанских вин — Белое сухое</t>
        </is>
      </c>
      <c r="Q69" t="inlineStr">
        <is>
          <t>Граф Воронцов. Белое полусладкое — Дербент Вино — Белое полусладкое</t>
        </is>
      </c>
      <c r="R69" t="inlineStr">
        <is>
          <t>Граф Воронцов. Брют розовое — Дербент Вино — Розовое брют</t>
        </is>
      </c>
      <c r="S69" s="3" t="n">
        <v>0.002799895359203219</v>
      </c>
      <c r="T69" s="3" t="n">
        <v>0.9968317151069641</v>
      </c>
      <c r="U69" t="n">
        <v>580.5</v>
      </c>
    </row>
    <row r="70">
      <c r="A70" t="inlineStr">
        <is>
          <t>96.31_09-09-2026_19-29-01.webp</t>
        </is>
      </c>
      <c r="B70" t="inlineStr">
        <is>
          <t>уверенно</t>
        </is>
      </c>
      <c r="C70" t="inlineStr">
        <is>
          <t>aratti-kaberne-po-belomu</t>
        </is>
      </c>
      <c r="D70" t="inlineStr">
        <is>
          <t>АРАТТИ Каберне по-белому — АРАТТИ — Красное сухое</t>
        </is>
      </c>
      <c r="F70" t="inlineStr">
        <is>
          <t>aratti-kaberne-po-belomu-1</t>
        </is>
      </c>
      <c r="G70" t="inlineStr">
        <is>
          <t>aratti-kaberne-po-belomu</t>
        </is>
      </c>
      <c r="H70" t="inlineStr">
        <is>
          <t>aratti-kaberne-sovinon-2021-krasnoe-suhoe</t>
        </is>
      </c>
      <c r="I70" t="inlineStr">
        <is>
          <t>aratti-vremena-goda-saperavi-leto</t>
        </is>
      </c>
      <c r="J70" t="inlineStr">
        <is>
          <t>aratti-kaberne-sovinon-2020-krasnoe-suhoe</t>
        </is>
      </c>
      <c r="K70">
        <f>IF(C70="","",IFERROR(MATCH(C70,F70:J70,0),"нет"))</f>
        <v/>
      </c>
      <c r="L70">
        <f>IF(C70="","",IF(K70=1,1,0))</f>
        <v/>
      </c>
      <c r="M70">
        <f>IF(C70="","",IF(ISNUMBER(K70),1,0))</f>
        <v/>
      </c>
      <c r="N70" t="inlineStr">
        <is>
          <t>АРАТТИ Каберне по-белому — АРАТТИ — Розовое полусухое</t>
        </is>
      </c>
      <c r="O70" t="inlineStr">
        <is>
          <t>АРАТТИ Каберне по-белому — АРАТТИ — Красное сухое</t>
        </is>
      </c>
      <c r="P70" t="inlineStr">
        <is>
          <t>АРАТТИ Каберне Совиньон 2021 красное сухое — АРАТТИ — Красное сухое</t>
        </is>
      </c>
      <c r="Q70" t="inlineStr">
        <is>
          <t>АРАТТИ Времена Года Саперави Лето — АРАТТИ — Красное сухое</t>
        </is>
      </c>
      <c r="R70" t="inlineStr">
        <is>
          <t>АРАТТИ Каберне Совиньон 2020 красное сухое — АРАТТИ — Красное сухое</t>
        </is>
      </c>
      <c r="S70" s="3" t="n">
        <v>0.9999977350234985</v>
      </c>
      <c r="T70" s="3" t="n">
        <v>1.553496758788242e-06</v>
      </c>
      <c r="U70" t="n">
        <v>557.4</v>
      </c>
    </row>
    <row r="71">
      <c r="A71" t="inlineStr">
        <is>
          <t>96.31_21-08-2026_17-24-55.webp</t>
        </is>
      </c>
      <c r="B71" t="inlineStr">
        <is>
          <t>уверенно</t>
        </is>
      </c>
      <c r="C71" t="inlineStr">
        <is>
          <t>bukovinka</t>
        </is>
      </c>
      <c r="D71" t="inlineStr">
        <is>
          <t>Буковинка — Табия — Белое полусухое</t>
        </is>
      </c>
      <c r="F71" t="inlineStr">
        <is>
          <t>bukovinka</t>
        </is>
      </c>
      <c r="G71" t="inlineStr">
        <is>
          <t>rubin-golodrigi</t>
        </is>
      </c>
      <c r="H71" t="inlineStr">
        <is>
          <t>oleg</t>
        </is>
      </c>
      <c r="I71" t="inlineStr">
        <is>
          <t>kaberne-sovinon-2</t>
        </is>
      </c>
      <c r="J71" t="inlineStr">
        <is>
          <t>rozovoe-zoloto</t>
        </is>
      </c>
      <c r="K71">
        <f>IF(C71="","",IFERROR(MATCH(C71,F71:J71,0),"нет"))</f>
        <v/>
      </c>
      <c r="L71">
        <f>IF(C71="","",IF(K71=1,1,0))</f>
        <v/>
      </c>
      <c r="M71">
        <f>IF(C71="","",IF(ISNUMBER(K71),1,0))</f>
        <v/>
      </c>
      <c r="N71" t="inlineStr">
        <is>
          <t>Буковинка — Табия — Белое полусухое</t>
        </is>
      </c>
      <c r="O71" t="inlineStr">
        <is>
          <t>Рубин Голодриги  — Табия — Красное сухое</t>
        </is>
      </c>
      <c r="P71" t="inlineStr">
        <is>
          <t>Олег — Табия — Белое сухое</t>
        </is>
      </c>
      <c r="Q71" t="inlineStr">
        <is>
          <t>Каберне Совиньон — Табия — Красное сухое</t>
        </is>
      </c>
      <c r="R71" t="inlineStr">
        <is>
          <t>Розовое золото — Табия — Розовое полусухое</t>
        </is>
      </c>
      <c r="S71" s="3" t="n">
        <v>0.9999816417694092</v>
      </c>
      <c r="T71" s="3" t="n">
        <v>1.670139317866415e-05</v>
      </c>
      <c r="U71" t="n">
        <v>545.5</v>
      </c>
    </row>
    <row r="72">
      <c r="A72" t="inlineStr">
        <is>
          <t>96.3_08-09-2026_10-53-14.webp</t>
        </is>
      </c>
      <c r="B72" t="inlineStr">
        <is>
          <t>нет в каталоге</t>
        </is>
      </c>
      <c r="F72" t="inlineStr">
        <is>
          <t>fanagoriya-beloe-polusladkoe</t>
        </is>
      </c>
      <c r="G72" t="inlineStr">
        <is>
          <t>fanagoriya-zelyonoe-vino-risling-tsitronnyy-magaracha-merlo-rozovoe-polusuhoe-11</t>
        </is>
      </c>
      <c r="H72" t="inlineStr">
        <is>
          <t>rozovoe-polusladkoe</t>
        </is>
      </c>
      <c r="I72" t="inlineStr">
        <is>
          <t>fanagoriya-zelyonoe-vino-risling-tsitronnyy-magaracha-beloe-polusuhoe-11</t>
        </is>
      </c>
      <c r="J72" t="inlineStr">
        <is>
          <t>fanagoriya-ona-skazala-da-beloe-polusladkoe</t>
        </is>
      </c>
      <c r="K72">
        <f>IF(C72="","",IFERROR(MATCH(C72,F72:J72,0),"нет"))</f>
        <v/>
      </c>
      <c r="L72">
        <f>IF(C72="","",IF(K72=1,1,0))</f>
        <v/>
      </c>
      <c r="M72">
        <f>IF(C72="","",IF(ISNUMBER(K72),1,0))</f>
        <v/>
      </c>
      <c r="N72" t="inlineStr">
        <is>
          <t>Фанагория белое полусладкое — Фанагория — Белое полусладкое</t>
        </is>
      </c>
      <c r="O72" t="inlineStr">
        <is>
          <t>Зелёное вино. Рислинг - Цитронный Магарача - Мерло — Фанагория — Розовое полусухое</t>
        </is>
      </c>
      <c r="P72" t="inlineStr">
        <is>
          <t>Розовое полусладкое — Фанагория — Розовое полусладкое</t>
        </is>
      </c>
      <c r="Q72" t="inlineStr">
        <is>
          <t>Зелёное вино. Рислинг - Цитронный Магарача — Фанагория — Белое полусухое</t>
        </is>
      </c>
      <c r="R72" t="inlineStr">
        <is>
          <t>Фанагория Она сказала Да! белое полусладкое — Фанагория — Белое полусладкое</t>
        </is>
      </c>
      <c r="S72" s="3" t="n">
        <v>0.9963175058364868</v>
      </c>
      <c r="T72" s="3" t="n">
        <v>0.0009085239726118743</v>
      </c>
      <c r="U72" t="n">
        <v>590.6</v>
      </c>
    </row>
    <row r="73">
      <c r="A73" t="inlineStr">
        <is>
          <t>96.3_28-08-2026_09-12-56.webp</t>
        </is>
      </c>
      <c r="B73" t="inlineStr">
        <is>
          <t>нет в каталоге</t>
        </is>
      </c>
      <c r="F73" t="inlineStr">
        <is>
          <t>usadba-divnomorskoe-yuzhnyy-les-merlo-krasnoe-suhoe-137</t>
        </is>
      </c>
      <c r="G73" t="inlineStr">
        <is>
          <t>usadba-divnomorskoe-solist-marselan-rozovoe-suhoe-115</t>
        </is>
      </c>
      <c r="H73" t="inlineStr">
        <is>
          <t>usadba-divnomorskoe-holodnyy-tuman-risling-beloe-suhoe-115</t>
        </is>
      </c>
      <c r="I73" t="inlineStr">
        <is>
          <t>vinodelnya-vedernikov-vedernikov-krasnostop-zolotovskiy-magnum-krasnoe-suhoe-145</t>
        </is>
      </c>
      <c r="J73" t="inlineStr">
        <is>
          <t>usadba-divnomorskoe-solnechnyy-veter-shardone-beloe-suhoe-125</t>
        </is>
      </c>
      <c r="K73">
        <f>IF(C73="","",IFERROR(MATCH(C73,F73:J73,0),"нет"))</f>
        <v/>
      </c>
      <c r="L73">
        <f>IF(C73="","",IF(K73=1,1,0))</f>
        <v/>
      </c>
      <c r="M73">
        <f>IF(C73="","",IF(ISNUMBER(K73),1,0))</f>
        <v/>
      </c>
      <c r="N73" t="inlineStr">
        <is>
          <t>Южный Лес — Усадьба Дивноморское — Красное сухое</t>
        </is>
      </c>
      <c r="O73" t="inlineStr">
        <is>
          <t>Солист — Усадьба Дивноморское — Розовое сухое</t>
        </is>
      </c>
      <c r="P73" t="inlineStr">
        <is>
          <t>Холодный Туман — Усадьба Дивноморское — Белое сухое</t>
        </is>
      </c>
      <c r="Q73" t="inlineStr">
        <is>
          <t>Ведерниковъ Красностоп Золотовский (магнум) — Ведерниковъ — Красное сухое</t>
        </is>
      </c>
      <c r="R73" t="inlineStr">
        <is>
          <t>Солнечный Ветер — Усадьба Дивноморское — Белое сухое</t>
        </is>
      </c>
      <c r="S73" s="3" t="n">
        <v>0.997778594493866</v>
      </c>
      <c r="T73" s="3" t="n">
        <v>0.002182631753385067</v>
      </c>
      <c r="U73" t="n">
        <v>569.7</v>
      </c>
    </row>
    <row r="74">
      <c r="A74" t="inlineStr">
        <is>
          <t>96.42_22-08-2026_21-29-43.webp</t>
        </is>
      </c>
      <c r="B74" t="inlineStr">
        <is>
          <t>нет в каталоге</t>
        </is>
      </c>
      <c r="F74" t="inlineStr">
        <is>
          <t>aristov-anima-millesimato-beloe-bryut</t>
        </is>
      </c>
      <c r="G74" t="inlineStr">
        <is>
          <t>abrau-dyurso-udelnoe-vedomstvo-imperatorskoe-beloe-bryut</t>
        </is>
      </c>
      <c r="H74" t="inlineStr">
        <is>
          <t>aristov-anima-pinot-grigio-blush</t>
        </is>
      </c>
      <c r="I74" t="inlineStr">
        <is>
          <t>abrau-dyurso-imperatorskoe-bryut-shardone-beloe-12</t>
        </is>
      </c>
      <c r="J74" t="inlineStr">
        <is>
          <t>abrau-dyurso-imperial-brut-vintage-shardone-beloe-bryut-12</t>
        </is>
      </c>
      <c r="K74">
        <f>IF(C74="","",IFERROR(MATCH(C74,F74:J74,0),"нет"))</f>
        <v/>
      </c>
      <c r="L74">
        <f>IF(C74="","",IF(K74=1,1,0))</f>
        <v/>
      </c>
      <c r="M74">
        <f>IF(C74="","",IF(ISNUMBER(K74),1,0))</f>
        <v/>
      </c>
      <c r="N74" t="inlineStr">
        <is>
          <t>Аристов ANIMA Millesimato белое брют — Кубань-Вино — Белое брют</t>
        </is>
      </c>
      <c r="O74" t="inlineStr">
        <is>
          <t>Абрау Дюрсо Удельное Ведомство Императорское белое брют — Абрау-Дюрсо — Белое брют</t>
        </is>
      </c>
      <c r="P74" t="inlineStr">
        <is>
          <t>Аристов Anima Pinot Grigio Blush — Кубань-Вино — Розовое брют</t>
        </is>
      </c>
      <c r="Q74" t="inlineStr">
        <is>
          <t>Императорское брют — Абрау-Дюрсо — Белое брют</t>
        </is>
      </c>
      <c r="R74" t="inlineStr">
        <is>
          <t>Империал. Brut Vintage — Абрау-Дюрсо — Белое брют</t>
        </is>
      </c>
      <c r="S74" s="3" t="n">
        <v>0.9032979011535645</v>
      </c>
      <c r="T74" s="3" t="n">
        <v>0.09520689398050308</v>
      </c>
      <c r="U74" t="n">
        <v>595.4</v>
      </c>
    </row>
    <row r="75">
      <c r="A75" t="inlineStr">
        <is>
          <t>96.44_05-09-2026_15-33-59.webp</t>
        </is>
      </c>
      <c r="B75" t="inlineStr">
        <is>
          <t>уверенно</t>
        </is>
      </c>
      <c r="C75" t="inlineStr">
        <is>
          <t>sovinon-blan</t>
        </is>
      </c>
      <c r="D75" t="inlineStr">
        <is>
          <t>Совиньон Блан — Литавщук. Litavshchuk vineyards &amp; winery — Белое полусладкое</t>
        </is>
      </c>
      <c r="F75" t="inlineStr">
        <is>
          <t>sovinon-blan</t>
        </is>
      </c>
      <c r="G75" t="inlineStr">
        <is>
          <t>domashnyaya-gorka</t>
        </is>
      </c>
      <c r="H75" t="inlineStr">
        <is>
          <t>risling-2</t>
        </is>
      </c>
      <c r="I75" t="inlineStr">
        <is>
          <t>dubinin-winery-sovinon-blan-beloe-suhoe-12</t>
        </is>
      </c>
      <c r="J75" t="inlineStr">
        <is>
          <t>blagolyubov-sovinon-blan-beloe-suhoe-125</t>
        </is>
      </c>
      <c r="K75">
        <f>IF(C75="","",IFERROR(MATCH(C75,F75:J75,0),"нет"))</f>
        <v/>
      </c>
      <c r="L75">
        <f>IF(C75="","",IF(K75=1,1,0))</f>
        <v/>
      </c>
      <c r="M75">
        <f>IF(C75="","",IF(ISNUMBER(K75),1,0))</f>
        <v/>
      </c>
      <c r="N75" t="inlineStr">
        <is>
          <t>Совиньон Блан — Литавщук. Litavshchuk vineyards &amp; winery — Белое полусладкое</t>
        </is>
      </c>
      <c r="O75" t="inlineStr">
        <is>
          <t>Домашняя горка  — Литавщук. Litavshchuk vineyards &amp; winery — Белое полусладкое</t>
        </is>
      </c>
      <c r="P75" t="inlineStr">
        <is>
          <t>Рислинг  — Литавщук. Litavshchuk vineyards &amp; winery — Белое полусухое</t>
        </is>
      </c>
      <c r="Q75" t="inlineStr">
        <is>
          <t>Совиньон Блан — Dubinin Winery — Белое сухое</t>
        </is>
      </c>
      <c r="R75" t="inlineStr">
        <is>
          <t>Совиньон Блан — Благолюбов — Белое сухое</t>
        </is>
      </c>
      <c r="S75" s="3" t="n">
        <v>0.9999991655349731</v>
      </c>
      <c r="T75" s="3" t="n">
        <v>1.637375675045405e-07</v>
      </c>
      <c r="U75" t="n">
        <v>555.7</v>
      </c>
    </row>
    <row r="76">
      <c r="A76" t="inlineStr">
        <is>
          <t>96.45_02-09-2026_14-19-06.webp</t>
        </is>
      </c>
      <c r="B76" t="inlineStr">
        <is>
          <t>нет в каталоге</t>
        </is>
      </c>
      <c r="F76" t="inlineStr">
        <is>
          <t>abrau-dyurso-russkoe-igristoe-polusuhoe-shardone-beloe-12</t>
        </is>
      </c>
      <c r="G76" t="inlineStr">
        <is>
          <t>abrau-dyurso-imperial-brut-rose-pino-nuar-rozovoe-bryut-12</t>
        </is>
      </c>
      <c r="H76" t="inlineStr">
        <is>
          <t>abrau-dyurso-russkoe-igristoe-polusladkoe-krasnoe-kaberne-sovinon-12</t>
        </is>
      </c>
      <c r="I76" t="inlineStr">
        <is>
          <t>abrau-dyurso-russkoe-igristoe-koshernoe-polusladkoe-shardone-beloe-12</t>
        </is>
      </c>
      <c r="J76" t="inlineStr">
        <is>
          <t>abrau-dyurso-russkoe-igristoe-polusladkoe-shardone-beloe-12</t>
        </is>
      </c>
      <c r="K76">
        <f>IF(C76="","",IFERROR(MATCH(C76,F76:J76,0),"нет"))</f>
        <v/>
      </c>
      <c r="L76">
        <f>IF(C76="","",IF(K76=1,1,0))</f>
        <v/>
      </c>
      <c r="M76">
        <f>IF(C76="","",IF(ISNUMBER(K76),1,0))</f>
        <v/>
      </c>
      <c r="N76" t="inlineStr">
        <is>
          <t>Русское Игристое полусухое — Абрау-Дюрсо — Белое полусухое</t>
        </is>
      </c>
      <c r="O76" t="inlineStr">
        <is>
          <t>Империал Brut Rose — Абрау-Дюрсо — Розовое брют</t>
        </is>
      </c>
      <c r="P76" t="inlineStr">
        <is>
          <t>Русское Игристое полусладкое красное — Абрау-Дюрсо — Красное полусладкое</t>
        </is>
      </c>
      <c r="Q76" t="inlineStr">
        <is>
          <t>Русское Игристое кошерное полусладкое — Абрау-Дюрсо — Белое полусладкое</t>
        </is>
      </c>
      <c r="R76" t="inlineStr">
        <is>
          <t>Русское Игристое полусладкое — Абрау-Дюрсо — Белое полусладкое</t>
        </is>
      </c>
      <c r="S76" s="3" t="n">
        <v>0.6319135427474976</v>
      </c>
      <c r="T76" s="3" t="n">
        <v>0.02450194582343102</v>
      </c>
      <c r="U76" t="n">
        <v>561.2</v>
      </c>
    </row>
    <row r="77">
      <c r="A77" t="inlineStr">
        <is>
          <t>96.45_19-08-2026_19-35-28.webp</t>
        </is>
      </c>
      <c r="B77" t="inlineStr">
        <is>
          <t>не уверен</t>
        </is>
      </c>
      <c r="C77" t="inlineStr">
        <is>
          <t>czitronnyj-magaracha</t>
        </is>
      </c>
      <c r="D77" t="inlineStr">
        <is>
          <t>Цитрон — Табия — Белое сухое</t>
        </is>
      </c>
      <c r="E77" t="inlineStr">
        <is>
          <t>в slug сухое, а нужно полусухое, но полусухого нет</t>
        </is>
      </c>
      <c r="F77" t="inlineStr">
        <is>
          <t>czitronnyj-magaracha</t>
        </is>
      </c>
      <c r="G77" t="inlineStr">
        <is>
          <t>oleg</t>
        </is>
      </c>
      <c r="H77" t="inlineStr">
        <is>
          <t>risling-1</t>
        </is>
      </c>
      <c r="I77" t="inlineStr">
        <is>
          <t>rubin-golodrigi</t>
        </is>
      </c>
      <c r="J77" t="inlineStr">
        <is>
          <t>bukovinka</t>
        </is>
      </c>
      <c r="K77">
        <f>IF(C77="","",IFERROR(MATCH(C77,F77:J77,0),"нет"))</f>
        <v/>
      </c>
      <c r="L77">
        <f>IF(C77="","",IF(K77=1,1,0))</f>
        <v/>
      </c>
      <c r="M77">
        <f>IF(C77="","",IF(ISNUMBER(K77),1,0))</f>
        <v/>
      </c>
      <c r="N77" t="inlineStr">
        <is>
          <t>Цитрон — Табия — Белое сухое</t>
        </is>
      </c>
      <c r="O77" t="inlineStr">
        <is>
          <t>Олег — Табия — Белое сухое</t>
        </is>
      </c>
      <c r="P77" t="inlineStr">
        <is>
          <t>Рислинг — Табия — Белое полусухое</t>
        </is>
      </c>
      <c r="Q77" t="inlineStr">
        <is>
          <t>Рубин Голодриги  — Табия — Красное сухое</t>
        </is>
      </c>
      <c r="R77" t="inlineStr">
        <is>
          <t>Буковинка — Табия — Белое полусухое</t>
        </is>
      </c>
      <c r="S77" s="3" t="n">
        <v>0.9999997615814209</v>
      </c>
      <c r="T77" s="3" t="n">
        <v>6.825602127946695e-08</v>
      </c>
      <c r="U77" t="n">
        <v>559.5</v>
      </c>
    </row>
    <row r="78">
      <c r="A78" t="inlineStr">
        <is>
          <t>96.53_03-09-2026_16-39-17.webp</t>
        </is>
      </c>
      <c r="B78" t="inlineStr">
        <is>
          <t>нет в каталоге</t>
        </is>
      </c>
      <c r="F78" t="inlineStr">
        <is>
          <t>fanagoriya-beloe-polusladkoe</t>
        </is>
      </c>
      <c r="G78" t="inlineStr">
        <is>
          <t>rozovoe-polusladkoe</t>
        </is>
      </c>
      <c r="H78" t="inlineStr">
        <is>
          <t>fanagoriya-fanagoriya-blanc-de-blancs-beloe-iz-belogo-shardone-igristoe-bryut-beloe-11-13</t>
        </is>
      </c>
      <c r="I78" t="inlineStr">
        <is>
          <t>fanagoriya-zelyonoe-vino-risling-tsitronnyy-magaracha-merlo-rozovoe-polusuhoe-11</t>
        </is>
      </c>
      <c r="J78" t="inlineStr">
        <is>
          <t>fanagoriya-fanagoria-extra-brut-rose-2019-pino-nuar-igristoe-bryut-rozovoe-ekstra-bryut-12</t>
        </is>
      </c>
      <c r="K78">
        <f>IF(C78="","",IFERROR(MATCH(C78,F78:J78,0),"нет"))</f>
        <v/>
      </c>
      <c r="L78">
        <f>IF(C78="","",IF(K78=1,1,0))</f>
        <v/>
      </c>
      <c r="M78">
        <f>IF(C78="","",IF(ISNUMBER(K78),1,0))</f>
        <v/>
      </c>
      <c r="N78" t="inlineStr">
        <is>
          <t>Фанагория белое полусладкое — Фанагория — Белое полусладкое</t>
        </is>
      </c>
      <c r="O78" t="inlineStr">
        <is>
          <t>Розовое полусладкое — Фанагория — Розовое полусладкое</t>
        </is>
      </c>
      <c r="P78" t="inlineStr">
        <is>
          <t>Фанагория. Blanc de Blancs. Белое из белого — Фанагория — Белое брют</t>
        </is>
      </c>
      <c r="Q78" t="inlineStr">
        <is>
          <t>Зелёное вино. Рислинг - Цитронный Магарача - Мерло — Фанагория — Розовое полусухое</t>
        </is>
      </c>
      <c r="R78" t="inlineStr">
        <is>
          <t>Fanagoria Extra Brut Rose 2019 — Фанагория — Розовое экстра брют</t>
        </is>
      </c>
      <c r="S78" s="3" t="n">
        <v>0.9968992471694946</v>
      </c>
      <c r="T78" s="3" t="n">
        <v>0.001924468320794404</v>
      </c>
      <c r="U78" t="n">
        <v>565.2</v>
      </c>
    </row>
    <row r="79">
      <c r="A79" t="inlineStr">
        <is>
          <t>96.54_04-09-2026_19-30-52.webp</t>
        </is>
      </c>
      <c r="B79" t="inlineStr">
        <is>
          <t>уверенно</t>
        </is>
      </c>
      <c r="C79" t="inlineStr">
        <is>
          <t>denisov-winery-risling-beloe-suhoe-115</t>
        </is>
      </c>
      <c r="D79" t="inlineStr">
        <is>
          <t>Рислинг — Denisov Winery — Белое сухое</t>
        </is>
      </c>
      <c r="F79" t="inlineStr">
        <is>
          <t>denisov-winery-risling-beloe-suhoe-115</t>
        </is>
      </c>
      <c r="G79" t="inlineStr">
        <is>
          <t>dubinin-winery-risling-beloe-suhoe-12</t>
        </is>
      </c>
      <c r="H79" t="inlineStr">
        <is>
          <t>vinodelnya-78-aligote-otbornoe-beloe-suhoe-12</t>
        </is>
      </c>
      <c r="I79" t="inlineStr">
        <is>
          <t>znoj-denisov-vajneri</t>
        </is>
      </c>
      <c r="J79" t="inlineStr">
        <is>
          <t>risling-2</t>
        </is>
      </c>
      <c r="K79">
        <f>IF(C79="","",IFERROR(MATCH(C79,F79:J79,0),"нет"))</f>
        <v/>
      </c>
      <c r="L79">
        <f>IF(C79="","",IF(K79=1,1,0))</f>
        <v/>
      </c>
      <c r="M79">
        <f>IF(C79="","",IF(ISNUMBER(K79),1,0))</f>
        <v/>
      </c>
      <c r="N79" t="inlineStr">
        <is>
          <t>Рислинг — Denisov Winery — Белое сухое</t>
        </is>
      </c>
      <c r="O79" t="inlineStr">
        <is>
          <t>Рислинг — Dubinin Winery — Белое сухое</t>
        </is>
      </c>
      <c r="P79" t="inlineStr">
        <is>
          <t>Алиготе Отборное — Винодельня 78 — Белое сухое</t>
        </is>
      </c>
      <c r="Q79" t="inlineStr">
        <is>
          <t>Зной. Денисов Вайнери — Denisov Winery — Белое сухое</t>
        </is>
      </c>
      <c r="R79" t="inlineStr">
        <is>
          <t>Рислинг  — Литавщук. Litavshchuk vineyards &amp; winery — Белое полусухое</t>
        </is>
      </c>
      <c r="S79" s="3" t="n">
        <v>0.9999995231628418</v>
      </c>
      <c r="T79" s="3" t="n">
        <v>3.466325892986788e-07</v>
      </c>
      <c r="U79" t="n">
        <v>571.3</v>
      </c>
    </row>
    <row r="80">
      <c r="A80" t="inlineStr">
        <is>
          <t>96.55_30-08-2026_19-34-31.webp</t>
        </is>
      </c>
      <c r="B80" t="inlineStr">
        <is>
          <t>уверенно</t>
        </is>
      </c>
      <c r="C80" t="inlineStr">
        <is>
          <t>novyy-svet-dom-shampanskih-vin-novyy-svet-polusladkoe-roze-shardone-rozovoe-115</t>
        </is>
      </c>
      <c r="D80" t="inlineStr">
        <is>
          <t>Новый Свет полусладкое розе — Новый Свет. Дом шампанских вин — Розовое полусладкое</t>
        </is>
      </c>
      <c r="F80" t="inlineStr">
        <is>
          <t>novyy-svet-dom-shampanskih-vin-rossiyskoe-shampanskoe-vyderzhannoe-polusladkoe-rozovoe-novyy-svet-shardone-125</t>
        </is>
      </c>
      <c r="G80" t="inlineStr">
        <is>
          <t>novyy-svet-dom-shampanskih-vin-novyy-svet-polusladkoe-roze-shardone-rozovoe-115</t>
        </is>
      </c>
      <c r="H80" t="inlineStr">
        <is>
          <t>novyj-svet-polusladkoe</t>
        </is>
      </c>
      <c r="I80" t="inlineStr">
        <is>
          <t>novyy-svet-dom-shampanskih-vin-igristoe-vino-vyderzhannoe-polusladkoe-krasnoe-novyy-svet-kaberne-sovinon-12</t>
        </is>
      </c>
      <c r="J80" t="inlineStr">
        <is>
          <t>novyj-svet-vyderzhannoe-bryut</t>
        </is>
      </c>
      <c r="K80">
        <f>IF(C80="","",IFERROR(MATCH(C80,F80:J80,0),"нет"))</f>
        <v/>
      </c>
      <c r="L80">
        <f>IF(C80="","",IF(K80=1,1,0))</f>
        <v/>
      </c>
      <c r="M80">
        <f>IF(C80="","",IF(ISNUMBER(K80),1,0))</f>
        <v/>
      </c>
      <c r="N80" t="inlineStr">
        <is>
          <t>Российское шампанское выдержанное полусладкое розовое «Новый Свет» — Новый Свет. Дом шампанских вин — Розовое полусладкое</t>
        </is>
      </c>
      <c r="O80" t="inlineStr">
        <is>
          <t>Новый Свет полусладкое розе — Новый Свет. Дом шампанских вин — Розовое полусладкое</t>
        </is>
      </c>
      <c r="P80" t="inlineStr">
        <is>
          <t>Новый Свет полусладкое — Новый Свет. Дом шампанских вин — Белое полусладкое</t>
        </is>
      </c>
      <c r="Q80" t="inlineStr">
        <is>
          <t>Игристое вино выдержанное полусладкое красное «Новый Свет. Каберне Совиньон» — Новый Свет. Дом шампанских вин — Красное полусладкое</t>
        </is>
      </c>
      <c r="R80" t="inlineStr">
        <is>
          <t>Новый Свет выдержанное брют — Новый Свет. Дом шампанских вин — Белое брют</t>
        </is>
      </c>
      <c r="S80" s="3" t="n">
        <v>0.9913911819458008</v>
      </c>
      <c r="T80" s="3" t="n">
        <v>6.091318027756643e-06</v>
      </c>
      <c r="U80" t="n">
        <v>631.6</v>
      </c>
    </row>
    <row r="81">
      <c r="A81" t="inlineStr">
        <is>
          <t>96.58_05-09-2026_16-05-04.webp</t>
        </is>
      </c>
      <c r="B81" t="inlineStr">
        <is>
          <t>уверенно</t>
        </is>
      </c>
      <c r="C81" t="inlineStr">
        <is>
          <t>fanagoriya-zelyonoe-vino-risling-tsitronnyy-magaracha-beloe-polusuhoe-11</t>
        </is>
      </c>
      <c r="D81" t="inlineStr">
        <is>
          <t>Зелёное вино. Рислинг - Цитронный Магарача — Фанагория — Белое полусухое</t>
        </is>
      </c>
      <c r="F81" t="inlineStr">
        <is>
          <t>fanagoriya-zelyonoe-vino-risling-tsitronnyy-magaracha-beloe-polusuhoe-11</t>
        </is>
      </c>
      <c r="G81" t="inlineStr">
        <is>
          <t>fanagoriya-zelyonoe-vino-risling-tsitronnyy-magaracha-merlo-rozovoe-polusuhoe-11</t>
        </is>
      </c>
      <c r="H81" t="inlineStr">
        <is>
          <t>vinodelnya-vedernikov-vedernikov-dolina-dona-beloe-suhoe-aligote-12</t>
        </is>
      </c>
      <c r="I81" t="inlineStr">
        <is>
          <t>eleonora</t>
        </is>
      </c>
      <c r="J81" t="inlineStr">
        <is>
          <t>levokumskoe-beloe-rkatsiteli-suhoe-10</t>
        </is>
      </c>
      <c r="K81">
        <f>IF(C81="","",IFERROR(MATCH(C81,F81:J81,0),"нет"))</f>
        <v/>
      </c>
      <c r="L81">
        <f>IF(C81="","",IF(K81=1,1,0))</f>
        <v/>
      </c>
      <c r="M81">
        <f>IF(C81="","",IF(ISNUMBER(K81),1,0))</f>
        <v/>
      </c>
      <c r="N81" t="inlineStr">
        <is>
          <t>Зелёное вино. Рислинг - Цитронный Магарача — Фанагория — Белое полусухое</t>
        </is>
      </c>
      <c r="O81" t="inlineStr">
        <is>
          <t>Зелёное вино. Рислинг - Цитронный Магарача - Мерло — Фанагория — Розовое полусухое</t>
        </is>
      </c>
      <c r="P81" t="inlineStr">
        <is>
          <t>Ведерниковъ Долина Дона Белое Сухое — Ведерниковъ — Белое сухое</t>
        </is>
      </c>
      <c r="Q81" t="inlineStr">
        <is>
          <t>Eleonora, 2021 — WINEMAFIA — Белое сухое</t>
        </is>
      </c>
      <c r="R81" t="inlineStr">
        <is>
          <t>Белое — Левокумское — Белое сухое</t>
        </is>
      </c>
      <c r="S81" s="3" t="n">
        <v>0.9999998807907104</v>
      </c>
      <c r="T81" s="3" t="n">
        <v>6.825602838489431e-08</v>
      </c>
      <c r="U81" t="n">
        <v>547.6</v>
      </c>
    </row>
    <row r="82">
      <c r="A82" t="inlineStr">
        <is>
          <t>96.61_28-08-2026_09-16-27.webp</t>
        </is>
      </c>
      <c r="B82" t="inlineStr">
        <is>
          <t>нет в каталоге</t>
        </is>
      </c>
      <c r="F82" t="inlineStr">
        <is>
          <t>balaklava-muskat-beloe-polusladkoe</t>
        </is>
      </c>
      <c r="G82" t="inlineStr">
        <is>
          <t>balaklava-bryut-rezerv</t>
        </is>
      </c>
      <c r="H82" t="inlineStr">
        <is>
          <t>balaklava-pino-nuar</t>
        </is>
      </c>
      <c r="I82" t="inlineStr">
        <is>
          <t>balaklava-muskat</t>
        </is>
      </c>
      <c r="J82" t="inlineStr">
        <is>
          <t>shardone-balaklava</t>
        </is>
      </c>
      <c r="K82">
        <f>IF(C82="","",IFERROR(MATCH(C82,F82:J82,0),"нет"))</f>
        <v/>
      </c>
      <c r="L82">
        <f>IF(C82="","",IF(K82=1,1,0))</f>
        <v/>
      </c>
      <c r="M82">
        <f>IF(C82="","",IF(ISNUMBER(K82),1,0))</f>
        <v/>
      </c>
      <c r="N82" t="inlineStr">
        <is>
          <t>Балаклава Мускат белое полусладкое — Золотая Балка — Белое полусладкое</t>
        </is>
      </c>
      <c r="O82" t="inlineStr">
        <is>
          <t>Балаклава Брют Резерв — Золотая Балка — Белое брют</t>
        </is>
      </c>
      <c r="P82" t="inlineStr">
        <is>
          <t>Балаклава Пино Нуар — Золотая Балка — Розовое брют</t>
        </is>
      </c>
      <c r="Q82" t="inlineStr">
        <is>
          <t>Балаклава Мускат — Золотая Балка — Белое брют</t>
        </is>
      </c>
      <c r="R82" t="inlineStr">
        <is>
          <t>Шардоне Балаклава  — Золотая Балка — Белое брют</t>
        </is>
      </c>
      <c r="S82" s="3" t="n">
        <v>0.9999995231628418</v>
      </c>
      <c r="T82" s="3" t="n">
        <v>1.855390650007394e-07</v>
      </c>
      <c r="U82" t="n">
        <v>569.3</v>
      </c>
    </row>
    <row r="83">
      <c r="A83" t="inlineStr">
        <is>
          <t>96.62_07-09-2026_18-12-27.webp</t>
        </is>
      </c>
      <c r="B83" t="inlineStr">
        <is>
          <t>уверенно</t>
        </is>
      </c>
      <c r="C83" t="inlineStr">
        <is>
          <t>fanagoriya-zelyonoe-vino-risling-tsitronnyy-magaracha-beloe-polusuhoe-11</t>
        </is>
      </c>
      <c r="D83" t="inlineStr">
        <is>
          <t>Зелёное вино. Рислинг - Цитронный Магарача — Фанагория — Белое полусухое</t>
        </is>
      </c>
      <c r="F83" t="inlineStr">
        <is>
          <t>fanagoriya-zelyonoe-vino-risling-tsitronnyy-magaracha-beloe-polusuhoe-11</t>
        </is>
      </c>
      <c r="G83" t="inlineStr">
        <is>
          <t>fanagoriya-zelyonoe-vino-risling-tsitronnyy-magaracha-merlo-rozovoe-polusuhoe-11</t>
        </is>
      </c>
      <c r="H83" t="inlineStr">
        <is>
          <t>fanagoriya-100-ottenkov-shardone-beloe-suhoe-14</t>
        </is>
      </c>
      <c r="I83" t="inlineStr">
        <is>
          <t>vinodelnya-vedernikov-vedernikov-dolina-dona-beloe-suhoe-aligote-12</t>
        </is>
      </c>
      <c r="J83" t="inlineStr">
        <is>
          <t>levokumskoe-beloe-rkatsiteli-suhoe-10</t>
        </is>
      </c>
      <c r="K83">
        <f>IF(C83="","",IFERROR(MATCH(C83,F83:J83,0),"нет"))</f>
        <v/>
      </c>
      <c r="L83">
        <f>IF(C83="","",IF(K83=1,1,0))</f>
        <v/>
      </c>
      <c r="M83">
        <f>IF(C83="","",IF(ISNUMBER(K83),1,0))</f>
        <v/>
      </c>
      <c r="N83" t="inlineStr">
        <is>
          <t>Зелёное вино. Рислинг - Цитронный Магарача — Фанагория — Белое полусухое</t>
        </is>
      </c>
      <c r="O83" t="inlineStr">
        <is>
          <t>Зелёное вино. Рислинг - Цитронный Магарача - Мерло — Фанагория — Розовое полусухое</t>
        </is>
      </c>
      <c r="P83" t="inlineStr">
        <is>
          <t>100 оттенков. Шардоне — Фанагория — Белое сухое</t>
        </is>
      </c>
      <c r="Q83" t="inlineStr">
        <is>
          <t>Ведерниковъ Долина Дона Белое Сухое — Ведерниковъ — Белое сухое</t>
        </is>
      </c>
      <c r="R83" t="inlineStr">
        <is>
          <t>Белое — Левокумское — Белое сухое</t>
        </is>
      </c>
      <c r="S83" s="3" t="n">
        <v>0.9999997615814209</v>
      </c>
      <c r="T83" s="3" t="n">
        <v>1.444980028963982e-07</v>
      </c>
      <c r="U83" t="n">
        <v>560.5</v>
      </c>
    </row>
    <row r="84">
      <c r="A84" t="inlineStr">
        <is>
          <t>96.64_26-08-2026_16-52-37.webp</t>
        </is>
      </c>
      <c r="B84" t="inlineStr">
        <is>
          <t>нет в каталоге</t>
        </is>
      </c>
      <c r="F84" t="inlineStr">
        <is>
          <t>valeriy-zaharin-avtorskoe-vino-ot-valeriya-zaharina-bastardo-bastardo-magarachskiy-krasnoe-suhoe-12</t>
        </is>
      </c>
      <c r="G84" t="inlineStr">
        <is>
          <t>valeriy-zaharin-avtorskoe-vino-ot-valeriya-zaharina-krasnoe-pino-nuar-suhoe-125</t>
        </is>
      </c>
      <c r="H84" t="inlineStr">
        <is>
          <t>valeriy-zaharin-avtohtonnoe-vino-kryma-avtorskiy-kupazh-bastardo-saperavi-kefesiya-bastardo-magarachskiy-krasnoe-suhoe-12</t>
        </is>
      </c>
      <c r="I84" t="inlineStr">
        <is>
          <t>valeriy-zaharin-bastardo-kefesiya-avtohtonnoe-vino-kryma-bastardo-magarachskiy-krasnoe-suhoe-115</t>
        </is>
      </c>
      <c r="J84" t="inlineStr">
        <is>
          <t>valeriy-zaharin-avtorskoe-vino-ot-valeriya-zaharina-aleatiko-rozovoe-suhoe-115</t>
        </is>
      </c>
      <c r="K84">
        <f>IF(C84="","",IFERROR(MATCH(C84,F84:J84,0),"нет"))</f>
        <v/>
      </c>
      <c r="L84">
        <f>IF(C84="","",IF(K84=1,1,0))</f>
        <v/>
      </c>
      <c r="M84">
        <f>IF(C84="","",IF(ISNUMBER(K84),1,0))</f>
        <v/>
      </c>
      <c r="N84" t="inlineStr">
        <is>
          <t>Авторское вино от Валерия Захарьина. Бастардо — Валерий Захарьин — Красное сухое</t>
        </is>
      </c>
      <c r="O84" t="inlineStr">
        <is>
          <t>Авторское вино от Валерия Захарьина. Красное — Валерий Захарьин — Красное сухое</t>
        </is>
      </c>
      <c r="P84" t="inlineStr">
        <is>
          <t>Автохтонное вино Крыма. Авторский Купаж. Бастардо – Саперави – Кефесия — Валерий Захарьин — Красное сухое</t>
        </is>
      </c>
      <c r="Q84" t="inlineStr">
        <is>
          <t>Бастардо - Кефесия. Автохтонное вино Крыма — Валерий Захарьин — Красное сухое</t>
        </is>
      </c>
      <c r="R84" t="inlineStr">
        <is>
          <t>Авторское вино от Валерия Захарьина. Алеатико — Валерий Захарьин — Розовое сухое</t>
        </is>
      </c>
      <c r="S84" s="3" t="n">
        <v>0.9999898672103882</v>
      </c>
      <c r="T84" s="3" t="n">
        <v>7.88924444350414e-06</v>
      </c>
      <c r="U84" t="n">
        <v>555.2</v>
      </c>
    </row>
    <row r="85">
      <c r="A85" t="inlineStr">
        <is>
          <t>96.65_02-09-2026_12-08-51.webp</t>
        </is>
      </c>
      <c r="B85" t="inlineStr">
        <is>
          <t>уверенно</t>
        </is>
      </c>
      <c r="C85" t="inlineStr">
        <is>
          <t>kaberne-sovinon-3</t>
        </is>
      </c>
      <c r="D85" t="inlineStr">
        <is>
          <t>Каберне Совиньон — Литавщук. Litavshchuk vineyards &amp; winery — Красное полусухое</t>
        </is>
      </c>
      <c r="F85" t="inlineStr">
        <is>
          <t>kaberne-sovinon-3</t>
        </is>
      </c>
      <c r="G85" t="inlineStr">
        <is>
          <t>vinodelnya-begildeeva-kaberne-sovinon-krasnoe-suhoe-14</t>
        </is>
      </c>
      <c r="H85" t="inlineStr">
        <is>
          <t>kaberne-sovinon-1</t>
        </is>
      </c>
      <c r="I85" t="inlineStr">
        <is>
          <t>vinodelnya-begildeeva-kaberne-sovinon-merlo-krasnoe-suhoe-14</t>
        </is>
      </c>
      <c r="J85" t="inlineStr">
        <is>
          <t>kaberne-sovinon-4</t>
        </is>
      </c>
      <c r="K85">
        <f>IF(C85="","",IFERROR(MATCH(C85,F85:J85,0),"нет"))</f>
        <v/>
      </c>
      <c r="L85">
        <f>IF(C85="","",IF(K85=1,1,0))</f>
        <v/>
      </c>
      <c r="M85">
        <f>IF(C85="","",IF(ISNUMBER(K85),1,0))</f>
        <v/>
      </c>
      <c r="N85" t="inlineStr">
        <is>
          <t>Каберне Совиньон — Литавщук. Litavshchuk vineyards &amp; winery — Красное полусухое</t>
        </is>
      </c>
      <c r="O85" t="inlineStr">
        <is>
          <t>Каберне Совиньон — Винодельня Бегильдеева — Красное сухое</t>
        </is>
      </c>
      <c r="P85" t="inlineStr">
        <is>
          <t>Каберне Совиньон — Галицкий и Галицкий — Красное сухое</t>
        </is>
      </c>
      <c r="Q85" t="inlineStr">
        <is>
          <t>Каберне Совиньон – Мерло — Винодельня Бегильдеева — Красное сухое</t>
        </is>
      </c>
      <c r="R85" t="inlineStr">
        <is>
          <t>Каберне Совиньон — Усадьба Перовских — Красное сухое</t>
        </is>
      </c>
      <c r="S85" s="3" t="n">
        <v>0.9999998807907104</v>
      </c>
      <c r="T85" s="3" t="n">
        <v>4.691163724146463e-08</v>
      </c>
      <c r="U85" t="n">
        <v>558.9</v>
      </c>
    </row>
    <row r="86">
      <c r="A86" t="inlineStr">
        <is>
          <t>96.66_22-08-2026_20-44-40.webp</t>
        </is>
      </c>
      <c r="B86" t="inlineStr">
        <is>
          <t>уверенно</t>
        </is>
      </c>
      <c r="C86" t="inlineStr">
        <is>
          <t>perovskih_polusuhoe_krasnoe</t>
        </is>
      </c>
      <c r="D86" t="inlineStr">
        <is>
          <t>Полусухое Красное — Усадьба Перовских — Красное полусухое</t>
        </is>
      </c>
      <c r="F86" t="inlineStr">
        <is>
          <t>perovskih_polusladkoe_krasnoe</t>
        </is>
      </c>
      <c r="G86" t="inlineStr">
        <is>
          <t>perovskih_polusuhoe_krasnoe</t>
        </is>
      </c>
      <c r="H86" t="inlineStr">
        <is>
          <t>perovskih_polusladkoe_beloe</t>
        </is>
      </c>
      <c r="I86" t="inlineStr">
        <is>
          <t>rozovoe-polusuhoe</t>
        </is>
      </c>
      <c r="J86" t="inlineStr">
        <is>
          <t>perovskih_polusladkoe_rosovoe</t>
        </is>
      </c>
      <c r="K86">
        <f>IF(C86="","",IFERROR(MATCH(C86,F86:J86,0),"нет"))</f>
        <v/>
      </c>
      <c r="L86">
        <f>IF(C86="","",IF(K86=1,1,0))</f>
        <v/>
      </c>
      <c r="M86">
        <f>IF(C86="","",IF(ISNUMBER(K86),1,0))</f>
        <v/>
      </c>
      <c r="N86" t="inlineStr">
        <is>
          <t>Полусладкое Красное — Усадьба Перовских — Красное полусладкое</t>
        </is>
      </c>
      <c r="O86" t="inlineStr">
        <is>
          <t>Полусухое Красное — Усадьба Перовских — Красное полусухое</t>
        </is>
      </c>
      <c r="P86" t="inlineStr">
        <is>
          <t>Полусладкое Белое  — Усадьба Перовских — Белое полусладкое</t>
        </is>
      </c>
      <c r="Q86" t="inlineStr">
        <is>
          <t>Розовое полусухое — Усадьба Перовских — Розовое полусухое</t>
        </is>
      </c>
      <c r="R86" t="inlineStr">
        <is>
          <t>Полусладкое розовое — Усадьба Перовских — Розовое полусладкое</t>
        </is>
      </c>
      <c r="S86" s="3" t="n">
        <v>0.9937899708747864</v>
      </c>
      <c r="T86" s="3" t="n">
        <v>0.001494102762080729</v>
      </c>
      <c r="U86" t="n">
        <v>543.6</v>
      </c>
    </row>
    <row r="87">
      <c r="A87" t="inlineStr">
        <is>
          <t>96.67_27-08-2026_17-47-05.webp</t>
        </is>
      </c>
      <c r="B87" t="inlineStr">
        <is>
          <t>нет в каталоге</t>
        </is>
      </c>
      <c r="F87" t="inlineStr">
        <is>
          <t>vinodelnya-begildeeva-merlo-krasnoe-suhoe-14</t>
        </is>
      </c>
      <c r="G87" t="inlineStr">
        <is>
          <t>vinodelnya-begildeeva-kaberne-sovinon-merlo-krasnoe-suhoe-14</t>
        </is>
      </c>
      <c r="H87" t="inlineStr">
        <is>
          <t>vinodelnya-begildeeva-kaberne-sovinon-krasnoe-suhoe-14</t>
        </is>
      </c>
      <c r="I87" t="inlineStr">
        <is>
          <t>belbek-beloe-suhoe-kaberne-sovinon-krasnoe-14</t>
        </is>
      </c>
      <c r="J87" t="inlineStr">
        <is>
          <t>soyuz-vino-soyuz-vino-izabella-krasnoe-polusladkoe-11</t>
        </is>
      </c>
      <c r="K87">
        <f>IF(C87="","",IFERROR(MATCH(C87,F87:J87,0),"нет"))</f>
        <v/>
      </c>
      <c r="L87">
        <f>IF(C87="","",IF(K87=1,1,0))</f>
        <v/>
      </c>
      <c r="M87">
        <f>IF(C87="","",IF(ISNUMBER(K87),1,0))</f>
        <v/>
      </c>
      <c r="N87" t="inlineStr">
        <is>
          <t>Мерло — Винодельня Бегильдеева — Красное сухое</t>
        </is>
      </c>
      <c r="O87" t="inlineStr">
        <is>
          <t>Каберне Совиньон – Мерло — Винодельня Бегильдеева — Красное сухое</t>
        </is>
      </c>
      <c r="P87" t="inlineStr">
        <is>
          <t>Каберне Совиньон — Винодельня Бегильдеева — Красное сухое</t>
        </is>
      </c>
      <c r="Q87" t="inlineStr">
        <is>
          <t>Белое сухое — Бельбек — Красное сухое</t>
        </is>
      </c>
      <c r="R87" t="inlineStr">
        <is>
          <t>Союз-Вино Изабелла — Союз-Вино — Красное полусладкое</t>
        </is>
      </c>
      <c r="S87" s="3" t="n">
        <v>1.994726972043281e-06</v>
      </c>
      <c r="T87" s="3" t="n">
        <v>0.999996542930603</v>
      </c>
      <c r="U87" t="n">
        <v>574.4</v>
      </c>
    </row>
    <row r="88">
      <c r="A88" t="inlineStr">
        <is>
          <t>96.74_28-08-2026_13-52-26.webp</t>
        </is>
      </c>
      <c r="B88" t="inlineStr">
        <is>
          <t>уверенно</t>
        </is>
      </c>
      <c r="C88" t="inlineStr">
        <is>
          <t>usadba-mezyb-shishka-kupazh-5-kaberne-sovinon-rozovoe-suhoe-133</t>
        </is>
      </c>
      <c r="D88" t="inlineStr">
        <is>
          <t>Шишка. Купаж №5 — Усадьба Мезыбь — Розовое сухое</t>
        </is>
      </c>
      <c r="F88" t="inlineStr">
        <is>
          <t>usadba-mezyb-shishka-kupazh-5-kaberne-sovinon-rozovoe-suhoe-133</t>
        </is>
      </c>
      <c r="G88" t="inlineStr">
        <is>
          <t>usadba-mezyb-shishka-pino-nuar-rozovoe-suhoe-115</t>
        </is>
      </c>
      <c r="H88" t="inlineStr">
        <is>
          <t>usadba-mezyb-shishka-shenen-blan-sovinon-blan-beloe-suhoe-126</t>
        </is>
      </c>
      <c r="I88" t="inlineStr">
        <is>
          <t>usadba-mezyb-shishka-oranzh-shardone-beloe-suhoe-127</t>
        </is>
      </c>
      <c r="J88" t="inlineStr">
        <is>
          <t>usadba-mezyb-shishka-shenen-blan-beloe-suhoe-13</t>
        </is>
      </c>
      <c r="K88">
        <f>IF(C88="","",IFERROR(MATCH(C88,F88:J88,0),"нет"))</f>
        <v/>
      </c>
      <c r="L88">
        <f>IF(C88="","",IF(K88=1,1,0))</f>
        <v/>
      </c>
      <c r="M88">
        <f>IF(C88="","",IF(ISNUMBER(K88),1,0))</f>
        <v/>
      </c>
      <c r="N88" t="inlineStr">
        <is>
          <t>Шишка. Купаж №5 — Усадьба Мезыбь — Розовое сухое</t>
        </is>
      </c>
      <c r="O88" t="inlineStr">
        <is>
          <t>Шишка. Пино Нуар — Усадьба Мезыбь — Розовое сухое</t>
        </is>
      </c>
      <c r="P88" t="inlineStr">
        <is>
          <t>Шишка. Шенен Блан, Совиньон Блан — Усадьба Мезыбь — Белое сухое</t>
        </is>
      </c>
      <c r="Q88" t="inlineStr">
        <is>
          <t>Шишка. Оранж — Усадьба Мезыбь — Белое сухое</t>
        </is>
      </c>
      <c r="R88" t="inlineStr">
        <is>
          <t>Шишка. Шенен Блан — Усадьба Мезыбь — Белое сухое</t>
        </is>
      </c>
      <c r="S88" s="3" t="n">
        <v>0.9999996423721313</v>
      </c>
      <c r="T88" s="3" t="n">
        <v>5.315783724313405e-08</v>
      </c>
      <c r="U88" t="n">
        <v>566.1</v>
      </c>
    </row>
    <row r="89">
      <c r="A89" t="inlineStr">
        <is>
          <t>96.76_07-09-2026_14-57-04.webp</t>
        </is>
      </c>
      <c r="B89" t="inlineStr">
        <is>
          <t>уверенно</t>
        </is>
      </c>
      <c r="C89" t="inlineStr">
        <is>
          <t>pozdnij-sbor-krasnoe</t>
        </is>
      </c>
      <c r="D89" t="inlineStr">
        <is>
          <t>Поздний сбор, Красное — Литавщук. Litavshchuk vineyards &amp; winery — Красное сладкое</t>
        </is>
      </c>
      <c r="F89" t="inlineStr">
        <is>
          <t>pozdnij-sbor-krasnoe</t>
        </is>
      </c>
      <c r="G89" t="inlineStr">
        <is>
          <t>pozdnij-sbor-beloe</t>
        </is>
      </c>
      <c r="H89" t="inlineStr">
        <is>
          <t>usadba-aleksandrovskaya-bubnovyy-valet-kaberne-sovinon-krasnoe-polusladkoe-13</t>
        </is>
      </c>
      <c r="I89" t="inlineStr">
        <is>
          <t>sober-bash-dve-doliny-tsimlyanskiy-2023-tsimlyanskiy-chernyy-krasnoe-suhoe-13</t>
        </is>
      </c>
      <c r="J89" t="inlineStr">
        <is>
          <t>kokur-premium</t>
        </is>
      </c>
      <c r="K89">
        <f>IF(C89="","",IFERROR(MATCH(C89,F89:J89,0),"нет"))</f>
        <v/>
      </c>
      <c r="L89">
        <f>IF(C89="","",IF(K89=1,1,0))</f>
        <v/>
      </c>
      <c r="M89">
        <f>IF(C89="","",IF(ISNUMBER(K89),1,0))</f>
        <v/>
      </c>
      <c r="N89" t="inlineStr">
        <is>
          <t>Поздний сбор, Красное — Литавщук. Litavshchuk vineyards &amp; winery — Красное сладкое</t>
        </is>
      </c>
      <c r="O89" t="inlineStr">
        <is>
          <t>Поздний сбор  Белое — Литавщук. Litavshchuk vineyards &amp; winery — Белое сладкое</t>
        </is>
      </c>
      <c r="P89" t="inlineStr">
        <is>
          <t>Бубновый Валет — Усадьба Александровская — Красное полусладкое</t>
        </is>
      </c>
      <c r="Q89" t="inlineStr">
        <is>
          <t>Две долины. Цимлянский 2023 — Собер Баш — Красное сухое</t>
        </is>
      </c>
      <c r="R89" t="inlineStr">
        <is>
          <t>Кокур Премиум — Массандра — Белое сухое</t>
        </is>
      </c>
      <c r="S89" s="3" t="n">
        <v>0.9999992847442627</v>
      </c>
      <c r="T89" s="3" t="n">
        <v>7.734416129778765e-08</v>
      </c>
      <c r="U89" t="n">
        <v>559.2</v>
      </c>
    </row>
    <row r="90">
      <c r="A90" t="inlineStr">
        <is>
          <t>96.77_24-08-2026_14-10-46.webp</t>
        </is>
      </c>
      <c r="B90" t="inlineStr">
        <is>
          <t>уверенно</t>
        </is>
      </c>
      <c r="C90" t="inlineStr">
        <is>
          <t>golubitskoe-estate-red-blend-kaberne-sovinon-krasnoe-suhoe-136</t>
        </is>
      </c>
      <c r="D90" t="inlineStr">
        <is>
          <t>Red Blend — Golubitskoe Estate — Красное сухое</t>
        </is>
      </c>
      <c r="F90" t="inlineStr">
        <is>
          <t>golubitskoe-estate-red-blend-kaberne-sovinon-krasnoe-suhoe-136</t>
        </is>
      </c>
      <c r="G90" t="inlineStr">
        <is>
          <t>golubitskoe-estate-winery-series-roze-blend-kaberne-sovinon-rozovoe-suhoe-117</t>
        </is>
      </c>
      <c r="H90" t="inlineStr">
        <is>
          <t>golubitskoe-estate-winery-series-pino-nuar-rozovoe-suhoe-115</t>
        </is>
      </c>
      <c r="I90" t="inlineStr">
        <is>
          <t>golubitskoe-estate-noble-selection-red-blend-kaberne-sovinon-krasnoe-suhoe-136</t>
        </is>
      </c>
      <c r="J90" t="inlineStr">
        <is>
          <t>pomeste-golubitskoe-kaberne-sovinon-rezerv-krasnoe-suhoe-143</t>
        </is>
      </c>
      <c r="K90">
        <f>IF(C90="","",IFERROR(MATCH(C90,F90:J90,0),"нет"))</f>
        <v/>
      </c>
      <c r="L90">
        <f>IF(C90="","",IF(K90=1,1,0))</f>
        <v/>
      </c>
      <c r="M90">
        <f>IF(C90="","",IF(ISNUMBER(K90),1,0))</f>
        <v/>
      </c>
      <c r="N90" t="inlineStr">
        <is>
          <t>Red Blend — Golubitskoe Estate — Красное сухое</t>
        </is>
      </c>
      <c r="O90" t="inlineStr">
        <is>
          <t>Winery Series. Розе бленд — Golubitskoe Estate — Розовое сухое</t>
        </is>
      </c>
      <c r="P90" t="inlineStr">
        <is>
          <t>Winery Series. Пино Нуар — Golubitskoe Estate — Розовое сухое</t>
        </is>
      </c>
      <c r="Q90" t="inlineStr">
        <is>
          <t>Noble Selection Red Blend — Golubitskoe Estate — Красное сухое</t>
        </is>
      </c>
      <c r="R90" t="inlineStr">
        <is>
          <t>Каберне Совиньон Резерв — Golubitskoe Estate — Красное сухое</t>
        </is>
      </c>
      <c r="S90" s="3" t="n">
        <v>0.9998251795768738</v>
      </c>
      <c r="T90" s="3" t="n">
        <v>2.144165955542121e-05</v>
      </c>
      <c r="U90" t="n">
        <v>554.5</v>
      </c>
    </row>
    <row r="91">
      <c r="A91" t="inlineStr">
        <is>
          <t>96.78_25-08-2026_18-04-42.webp</t>
        </is>
      </c>
      <c r="B91" t="inlineStr">
        <is>
          <t>исключено</t>
        </is>
      </c>
      <c r="E91" t="inlineStr">
        <is>
          <t>здесь на фото 2 вина разных</t>
        </is>
      </c>
      <c r="F91" t="inlineStr">
        <is>
          <t>bukovinka</t>
        </is>
      </c>
      <c r="G91" t="inlineStr">
        <is>
          <t>czitronnyj-magaracha</t>
        </is>
      </c>
      <c r="H91" t="inlineStr">
        <is>
          <t>rubin-golodrigi</t>
        </is>
      </c>
      <c r="I91" t="inlineStr">
        <is>
          <t>risling-1</t>
        </is>
      </c>
      <c r="J91" t="inlineStr">
        <is>
          <t>kaberne-sovinon-2</t>
        </is>
      </c>
      <c r="K91">
        <f>IF(C91="","",IFERROR(MATCH(C91,F91:J91,0),"нет"))</f>
        <v/>
      </c>
      <c r="L91">
        <f>IF(C91="","",IF(K91=1,1,0))</f>
        <v/>
      </c>
      <c r="M91">
        <f>IF(C91="","",IF(ISNUMBER(K91),1,0))</f>
        <v/>
      </c>
      <c r="N91" t="inlineStr">
        <is>
          <t>Буковинка — Табия — Белое полусухое</t>
        </is>
      </c>
      <c r="O91" t="inlineStr">
        <is>
          <t>Цитрон — Табия — Белое сухое</t>
        </is>
      </c>
      <c r="P91" t="inlineStr">
        <is>
          <t>Рубин Голодриги  — Табия — Красное сухое</t>
        </is>
      </c>
      <c r="Q91" t="inlineStr">
        <is>
          <t>Рислинг — Табия — Белое полусухое</t>
        </is>
      </c>
      <c r="R91" t="inlineStr">
        <is>
          <t>Каберне Совиньон — Табия — Красное сухое</t>
        </is>
      </c>
      <c r="S91" s="3" t="n">
        <v>0.9210079908370972</v>
      </c>
      <c r="T91" s="3" t="n">
        <v>0.05195971950888634</v>
      </c>
      <c r="U91" t="n">
        <v>540.7</v>
      </c>
    </row>
    <row r="92">
      <c r="A92" t="inlineStr">
        <is>
          <t>96.79_20-08-2026_17-48-31.webp</t>
        </is>
      </c>
      <c r="B92" t="inlineStr">
        <is>
          <t>уверенно</t>
        </is>
      </c>
      <c r="C92" t="inlineStr">
        <is>
          <t>oleg</t>
        </is>
      </c>
      <c r="D92" t="inlineStr">
        <is>
          <t>Олег — Табия — Белое сухое</t>
        </is>
      </c>
      <c r="F92" t="inlineStr">
        <is>
          <t>oleg</t>
        </is>
      </c>
      <c r="G92" t="inlineStr">
        <is>
          <t>kaberne-sovinon-2</t>
        </is>
      </c>
      <c r="H92" t="inlineStr">
        <is>
          <t>roze-2</t>
        </is>
      </c>
      <c r="I92" t="inlineStr">
        <is>
          <t>rubin-golodrigi</t>
        </is>
      </c>
      <c r="J92" t="inlineStr">
        <is>
          <t>czitronnyj-magaracha</t>
        </is>
      </c>
      <c r="K92">
        <f>IF(C92="","",IFERROR(MATCH(C92,F92:J92,0),"нет"))</f>
        <v/>
      </c>
      <c r="L92">
        <f>IF(C92="","",IF(K92=1,1,0))</f>
        <v/>
      </c>
      <c r="M92">
        <f>IF(C92="","",IF(ISNUMBER(K92),1,0))</f>
        <v/>
      </c>
      <c r="N92" t="inlineStr">
        <is>
          <t>Олег — Табия — Белое сухое</t>
        </is>
      </c>
      <c r="O92" t="inlineStr">
        <is>
          <t>Каберне Совиньон — Табия — Красное сухое</t>
        </is>
      </c>
      <c r="P92" t="inlineStr">
        <is>
          <t>Розе — Табия — Розовое сухое</t>
        </is>
      </c>
      <c r="Q92" t="inlineStr">
        <is>
          <t>Рубин Голодриги  — Табия — Красное сухое</t>
        </is>
      </c>
      <c r="R92" t="inlineStr">
        <is>
          <t>Цитрон — Табия — Белое сухое</t>
        </is>
      </c>
      <c r="S92" s="3" t="n">
        <v>0.999774158000946</v>
      </c>
      <c r="T92" s="3" t="n">
        <v>0.0001088841745513491</v>
      </c>
      <c r="U92" t="n">
        <v>546.4</v>
      </c>
    </row>
    <row r="93">
      <c r="A93" t="inlineStr">
        <is>
          <t>96.79_28-08-2026_22-05-22.webp</t>
        </is>
      </c>
      <c r="B93" t="inlineStr">
        <is>
          <t>уверенно</t>
        </is>
      </c>
      <c r="C93" t="inlineStr">
        <is>
          <t>vinodelnya-vedernikov-vedernikov-dolina-dona-beloe-suhoe-aligote-12</t>
        </is>
      </c>
      <c r="D93" t="inlineStr">
        <is>
          <t>Ведерниковъ Долина Дона Белое Сухое — Ведерниковъ — Белое сухое</t>
        </is>
      </c>
      <c r="F93" t="inlineStr">
        <is>
          <t>vinodelnya-vedernikov-vedernikov-dolina-dona-beloe-suhoe-aligote-12</t>
        </is>
      </c>
      <c r="G93" t="inlineStr">
        <is>
          <t>vinodelnya-vedernikov-sibirkovyy-beloe-suhoe-11</t>
        </is>
      </c>
      <c r="H93" t="inlineStr">
        <is>
          <t>vinodelnya-vedernikov-gubernatorskoe-risling-beloe-suhoe-12</t>
        </is>
      </c>
      <c r="I93" t="inlineStr">
        <is>
          <t>vinodelnya-vedernikov-vedernikov-dolina-dona-krasnoe-suhoe-kaberne-sovinon-125</t>
        </is>
      </c>
      <c r="J93" t="inlineStr">
        <is>
          <t>vinodelnya-vedernikov-krasnostop-zolotovskiy-krasnoe-suhoe-13</t>
        </is>
      </c>
      <c r="K93">
        <f>IF(C93="","",IFERROR(MATCH(C93,F93:J93,0),"нет"))</f>
        <v/>
      </c>
      <c r="L93">
        <f>IF(C93="","",IF(K93=1,1,0))</f>
        <v/>
      </c>
      <c r="M93">
        <f>IF(C93="","",IF(ISNUMBER(K93),1,0))</f>
        <v/>
      </c>
      <c r="N93" t="inlineStr">
        <is>
          <t>Ведерниковъ Долина Дона Белое Сухое — Ведерниковъ — Белое сухое</t>
        </is>
      </c>
      <c r="O93" t="inlineStr">
        <is>
          <t>Сибирьковый — Ведерниковъ — Белое сухое</t>
        </is>
      </c>
      <c r="P93" t="inlineStr">
        <is>
          <t>Губернаторское. Рислинг — Ведерниковъ — Белое сухое</t>
        </is>
      </c>
      <c r="Q93" t="inlineStr">
        <is>
          <t>Ведерниковъ Долина Дона Красное Сухое — Ведерниковъ — Красное сухое</t>
        </is>
      </c>
      <c r="R93" t="inlineStr">
        <is>
          <t>Красностоп Золотовский — Ведерниковъ — Красное сухое</t>
        </is>
      </c>
      <c r="S93" s="3" t="n">
        <v>0.9998311996459961</v>
      </c>
      <c r="T93" s="3" t="n">
        <v>1.444736454914164e-07</v>
      </c>
      <c r="U93" t="n">
        <v>602</v>
      </c>
    </row>
    <row r="94">
      <c r="A94" t="inlineStr">
        <is>
          <t>96.7_28-08-2026_13-50-21.webp</t>
        </is>
      </c>
      <c r="B94" t="inlineStr">
        <is>
          <t>нет в каталоге</t>
        </is>
      </c>
      <c r="F94" t="inlineStr">
        <is>
          <t>usadba-divnomorskoe-yuzhnyy-les-merlo-krasnoe-suhoe-137</t>
        </is>
      </c>
      <c r="G94" t="inlineStr">
        <is>
          <t>usadba-divnomorskoe-solnechnyy-veter-shardone-beloe-suhoe-125</t>
        </is>
      </c>
      <c r="H94" t="inlineStr">
        <is>
          <t>usadba-divnomorskoe-holodnyy-tuman-risling-beloe-suhoe-115</t>
        </is>
      </c>
      <c r="I94" t="inlineStr">
        <is>
          <t>usadba-divnomorskoe-solist-marselan-rozovoe-suhoe-115</t>
        </is>
      </c>
      <c r="J94" t="inlineStr">
        <is>
          <t>vinodelnya-vedernikov-vedernikov-krasnostop-zolotovskiy-magnum-krasnoe-suhoe-145</t>
        </is>
      </c>
      <c r="K94">
        <f>IF(C94="","",IFERROR(MATCH(C94,F94:J94,0),"нет"))</f>
        <v/>
      </c>
      <c r="L94">
        <f>IF(C94="","",IF(K94=1,1,0))</f>
        <v/>
      </c>
      <c r="M94">
        <f>IF(C94="","",IF(ISNUMBER(K94),1,0))</f>
        <v/>
      </c>
      <c r="N94" t="inlineStr">
        <is>
          <t>Южный Лес — Усадьба Дивноморское — Красное сухое</t>
        </is>
      </c>
      <c r="O94" t="inlineStr">
        <is>
          <t>Солнечный Ветер — Усадьба Дивноморское — Белое сухое</t>
        </is>
      </c>
      <c r="P94" t="inlineStr">
        <is>
          <t>Холодный Туман — Усадьба Дивноморское — Белое сухое</t>
        </is>
      </c>
      <c r="Q94" t="inlineStr">
        <is>
          <t>Солист — Усадьба Дивноморское — Розовое сухое</t>
        </is>
      </c>
      <c r="R94" t="inlineStr">
        <is>
          <t>Ведерниковъ Красностоп Золотовский (магнум) — Ведерниковъ — Красное сухое</t>
        </is>
      </c>
      <c r="S94" s="3" t="n">
        <v>0.9987291693687439</v>
      </c>
      <c r="T94" s="3" t="n">
        <v>0.001169391558505595</v>
      </c>
      <c r="U94" t="n">
        <v>554.9</v>
      </c>
    </row>
    <row r="95">
      <c r="A95" t="inlineStr">
        <is>
          <t>96.83_20-08-2026_17-48-13.webp</t>
        </is>
      </c>
      <c r="B95" t="inlineStr">
        <is>
          <t>уверенно</t>
        </is>
      </c>
      <c r="C95" t="inlineStr">
        <is>
          <t>oleg</t>
        </is>
      </c>
      <c r="D95" t="inlineStr">
        <is>
          <t>Олег — Табия — Белое сухое</t>
        </is>
      </c>
      <c r="F95" t="inlineStr">
        <is>
          <t>oleg</t>
        </is>
      </c>
      <c r="G95" t="inlineStr">
        <is>
          <t>roze-2</t>
        </is>
      </c>
      <c r="H95" t="inlineStr">
        <is>
          <t>kaberne-sovinon-2</t>
        </is>
      </c>
      <c r="I95" t="inlineStr">
        <is>
          <t>rubin-golodrigi</t>
        </is>
      </c>
      <c r="J95" t="inlineStr">
        <is>
          <t>rozovoe-zoloto</t>
        </is>
      </c>
      <c r="K95">
        <f>IF(C95="","",IFERROR(MATCH(C95,F95:J95,0),"нет"))</f>
        <v/>
      </c>
      <c r="L95">
        <f>IF(C95="","",IF(K95=1,1,0))</f>
        <v/>
      </c>
      <c r="M95">
        <f>IF(C95="","",IF(ISNUMBER(K95),1,0))</f>
        <v/>
      </c>
      <c r="N95" t="inlineStr">
        <is>
          <t>Олег — Табия — Белое сухое</t>
        </is>
      </c>
      <c r="O95" t="inlineStr">
        <is>
          <t>Розе — Табия — Розовое сухое</t>
        </is>
      </c>
      <c r="P95" t="inlineStr">
        <is>
          <t>Каберне Совиньон — Табия — Красное сухое</t>
        </is>
      </c>
      <c r="Q95" t="inlineStr">
        <is>
          <t>Рубин Голодриги  — Табия — Красное сухое</t>
        </is>
      </c>
      <c r="R95" t="inlineStr">
        <is>
          <t>Розовое золото — Табия — Розовое полусухое</t>
        </is>
      </c>
      <c r="S95" s="3" t="n">
        <v>0.9999971389770508</v>
      </c>
      <c r="T95" s="3" t="n">
        <v>4.450839412584173e-07</v>
      </c>
      <c r="U95" t="n">
        <v>533.9</v>
      </c>
    </row>
    <row r="96">
      <c r="A96" t="inlineStr">
        <is>
          <t>96.8_25-08-2026_22-20-38.webp</t>
        </is>
      </c>
      <c r="B96" t="inlineStr">
        <is>
          <t>не уверен</t>
        </is>
      </c>
      <c r="C96" t="inlineStr">
        <is>
          <t>sovinon-blan</t>
        </is>
      </c>
      <c r="D96" t="inlineStr">
        <is>
          <t>Совиньон Блан — Литавщук. Litavshchuk vineyards &amp; winery — Белое полусладкое</t>
        </is>
      </c>
      <c r="E96" t="inlineStr">
        <is>
          <t>то что в slug полусладкое, а на фото полусухое</t>
        </is>
      </c>
      <c r="F96" t="inlineStr">
        <is>
          <t>sovinon-blan</t>
        </is>
      </c>
      <c r="G96" t="inlineStr">
        <is>
          <t>blagolyubov-sovinon-blan-beloe-suhoe-125</t>
        </is>
      </c>
      <c r="H96" t="inlineStr">
        <is>
          <t>vinodelnya-myshako-sovinon-blan-beloe-suhoe-122</t>
        </is>
      </c>
      <c r="I96" t="inlineStr">
        <is>
          <t>dubinin-winery-sovinon-blan-beloe-suhoe-12</t>
        </is>
      </c>
      <c r="J96" t="inlineStr">
        <is>
          <t>sober-bash-kumshatskiy-kumshatskiy-belyy-beloe-suhoe-11</t>
        </is>
      </c>
      <c r="K96">
        <f>IF(C96="","",IFERROR(MATCH(C96,F96:J96,0),"нет"))</f>
        <v/>
      </c>
      <c r="L96">
        <f>IF(C96="","",IF(K96=1,1,0))</f>
        <v/>
      </c>
      <c r="M96">
        <f>IF(C96="","",IF(ISNUMBER(K96),1,0))</f>
        <v/>
      </c>
      <c r="N96" t="inlineStr">
        <is>
          <t>Совиньон Блан — Литавщук. Litavshchuk vineyards &amp; winery — Белое полусладкое</t>
        </is>
      </c>
      <c r="O96" t="inlineStr">
        <is>
          <t>Совиньон Блан — Благолюбов — Белое сухое</t>
        </is>
      </c>
      <c r="P96" t="inlineStr">
        <is>
          <t>Совиньон Блан — Мысхако — Белое сухое</t>
        </is>
      </c>
      <c r="Q96" t="inlineStr">
        <is>
          <t>Совиньон Блан — Dubinin Winery — Белое сухое</t>
        </is>
      </c>
      <c r="R96" t="inlineStr">
        <is>
          <t>Кумшацкий — Собер Баш — Белое сухое</t>
        </is>
      </c>
      <c r="S96" s="3" t="n">
        <v>1</v>
      </c>
      <c r="T96" s="3" t="n">
        <v>3.224186784223093e-08</v>
      </c>
      <c r="U96" t="n">
        <v>540.1</v>
      </c>
    </row>
    <row r="97">
      <c r="A97" t="inlineStr">
        <is>
          <t>96.96_05-09-2026_19-02-01.webp</t>
        </is>
      </c>
      <c r="B97" t="inlineStr">
        <is>
          <t>уверенно</t>
        </is>
      </c>
      <c r="C97" t="inlineStr">
        <is>
          <t>denisov_rubin_klaret_krasnaya_strelka</t>
        </is>
      </c>
      <c r="D97" t="inlineStr">
        <is>
          <t>Рубин кларет . Красная стрелка — Denisov Winery — Розовое сухое</t>
        </is>
      </c>
      <c r="F97" t="inlineStr">
        <is>
          <t>denisov_rubin_klaret_krasnaya_strelka</t>
        </is>
      </c>
      <c r="G97" t="inlineStr">
        <is>
          <t>denisov_pino_noir_klaret</t>
        </is>
      </c>
      <c r="H97" t="inlineStr">
        <is>
          <t>vinodelnya-pokrovskaya-pokrovskoe-sladkoe-krasnoe-kaberne-sovinon-13</t>
        </is>
      </c>
      <c r="I97" t="inlineStr">
        <is>
          <t>usadba-aleksandrovskaya-bubnovyy-valet-kaberne-sovinon-krasnoe-polusladkoe-13</t>
        </is>
      </c>
      <c r="J97" t="inlineStr">
        <is>
          <t>vinodelnya-78-aligote-otbornoe-beloe-suhoe-12</t>
        </is>
      </c>
      <c r="K97">
        <f>IF(C97="","",IFERROR(MATCH(C97,F97:J97,0),"нет"))</f>
        <v/>
      </c>
      <c r="L97">
        <f>IF(C97="","",IF(K97=1,1,0))</f>
        <v/>
      </c>
      <c r="M97">
        <f>IF(C97="","",IF(ISNUMBER(K97),1,0))</f>
        <v/>
      </c>
      <c r="N97" t="inlineStr">
        <is>
          <t>Рубин кларет . Красная стрелка — Denisov Winery — Розовое сухое</t>
        </is>
      </c>
      <c r="O97" t="inlineStr">
        <is>
          <t>Пино Нуар кларет. Красная стрелка — Denisov Winery — Розовое сухое</t>
        </is>
      </c>
      <c r="P97" t="inlineStr">
        <is>
          <t>Покровское сладкое красное — Винодельня Покровская — Красное сладкое</t>
        </is>
      </c>
      <c r="Q97" t="inlineStr">
        <is>
          <t>Бубновый Валет — Усадьба Александровская — Красное полусладкое</t>
        </is>
      </c>
      <c r="R97" t="inlineStr">
        <is>
          <t>Алиготе Отборное — Винодельня 78 — Белое сухое</t>
        </is>
      </c>
      <c r="S97" s="3" t="n">
        <v>0.9999443292617798</v>
      </c>
      <c r="T97" s="3" t="n">
        <v>1.553413767396705e-06</v>
      </c>
      <c r="U97" t="n">
        <v>535.4</v>
      </c>
    </row>
    <row r="98">
      <c r="A98" t="inlineStr">
        <is>
          <t>96.98_19-08-2026_19-05-06.webp</t>
        </is>
      </c>
      <c r="B98" t="inlineStr">
        <is>
          <t>уверенно</t>
        </is>
      </c>
      <c r="C98" t="inlineStr">
        <is>
          <t>czitronnyj-magaracha</t>
        </is>
      </c>
      <c r="D98" t="inlineStr">
        <is>
          <t>Цитрон — Табия — Белое сухое</t>
        </is>
      </c>
      <c r="E98" t="inlineStr">
        <is>
          <t>в slug сухое, а нужно полусухое, но полусухого нет</t>
        </is>
      </c>
      <c r="F98" t="inlineStr">
        <is>
          <t>czitronnyj-magaracha</t>
        </is>
      </c>
      <c r="G98" t="inlineStr">
        <is>
          <t>risling-1</t>
        </is>
      </c>
      <c r="H98" t="inlineStr">
        <is>
          <t>bukovinka</t>
        </is>
      </c>
      <c r="I98" t="inlineStr">
        <is>
          <t>oleg</t>
        </is>
      </c>
      <c r="J98" t="inlineStr">
        <is>
          <t>rubin-golodrigi</t>
        </is>
      </c>
      <c r="K98">
        <f>IF(C98="","",IFERROR(MATCH(C98,F98:J98,0),"нет"))</f>
        <v/>
      </c>
      <c r="L98">
        <f>IF(C98="","",IF(K98=1,1,0))</f>
        <v/>
      </c>
      <c r="M98">
        <f>IF(C98="","",IF(ISNUMBER(K98),1,0))</f>
        <v/>
      </c>
      <c r="N98" t="inlineStr">
        <is>
          <t>Цитрон — Табия — Белое сухое</t>
        </is>
      </c>
      <c r="O98" t="inlineStr">
        <is>
          <t>Рислинг — Табия — Белое полусухое</t>
        </is>
      </c>
      <c r="P98" t="inlineStr">
        <is>
          <t>Буковинка — Табия — Белое полусухое</t>
        </is>
      </c>
      <c r="Q98" t="inlineStr">
        <is>
          <t>Олег — Табия — Белое сухое</t>
        </is>
      </c>
      <c r="R98" t="inlineStr">
        <is>
          <t>Рубин Голодриги  — Табия — Красное сухое</t>
        </is>
      </c>
      <c r="S98" s="3" t="n">
        <v>0.9999982118606567</v>
      </c>
      <c r="T98" s="3" t="n">
        <v>1.553497554596106e-06</v>
      </c>
      <c r="U98" t="n">
        <v>584.8</v>
      </c>
    </row>
    <row r="99">
      <c r="A99" t="inlineStr">
        <is>
          <t>97.02_29-08-2026_18-49-02.webp</t>
        </is>
      </c>
      <c r="B99" t="inlineStr">
        <is>
          <t>нет в каталоге</t>
        </is>
      </c>
      <c r="F99" t="inlineStr">
        <is>
          <t>caperavi-avtorskoe-vino</t>
        </is>
      </c>
      <c r="G99" t="inlineStr">
        <is>
          <t>kaberne-avtorskoe-vino</t>
        </is>
      </c>
      <c r="H99" t="inlineStr">
        <is>
          <t>massandra-kagor-yuzhnoberezhnyy-saperavi-krasnoe-sladkoe-16</t>
        </is>
      </c>
      <c r="I99" t="inlineStr">
        <is>
          <t>massandra-premium-sangiovese-sandzhoveze-krasnoe-suhoe-13</t>
        </is>
      </c>
      <c r="J99" t="inlineStr">
        <is>
          <t>kaberne-sovinon</t>
        </is>
      </c>
      <c r="K99">
        <f>IF(C99="","",IFERROR(MATCH(C99,F99:J99,0),"нет"))</f>
        <v/>
      </c>
      <c r="L99">
        <f>IF(C99="","",IF(K99=1,1,0))</f>
        <v/>
      </c>
      <c r="M99">
        <f>IF(C99="","",IF(ISNUMBER(K99),1,0))</f>
        <v/>
      </c>
      <c r="N99" t="inlineStr">
        <is>
          <t>Cаперави. Авторское вино — Массандра — Красное сухое</t>
        </is>
      </c>
      <c r="O99" t="inlineStr">
        <is>
          <t>Каберне. Авторское вино — Массандра — Красное сухое</t>
        </is>
      </c>
      <c r="P99" t="inlineStr">
        <is>
          <t>Кагор Южнобережный — Массандра — Красное сладкое</t>
        </is>
      </c>
      <c r="Q99" t="inlineStr">
        <is>
          <t>Premium Sangiovese — Массандра — Красное сухое</t>
        </is>
      </c>
      <c r="R99" t="inlineStr">
        <is>
          <t>Каберне Совиньон — Массандра — Красное сладкое</t>
        </is>
      </c>
      <c r="S99" s="3" t="n">
        <v>0.9999995231628418</v>
      </c>
      <c r="T99" s="3" t="n">
        <v>3.05902176478412e-07</v>
      </c>
      <c r="U99" t="n">
        <v>579.5</v>
      </c>
    </row>
    <row r="100">
      <c r="A100" t="inlineStr">
        <is>
          <t>97.08_05-09-2026_15-30-50.webp</t>
        </is>
      </c>
      <c r="B100" t="inlineStr">
        <is>
          <t>нет в каталоге</t>
        </is>
      </c>
      <c r="F100" t="inlineStr">
        <is>
          <t>fanagoriya-alveus-ultra-cuvee-brut-shardone-beloe-bryut-12</t>
        </is>
      </c>
      <c r="G100" t="inlineStr">
        <is>
          <t>fanagoriya-alveus-ultra-cuvee-ekstra-bryut-beloe-risling-reynskiy-12</t>
        </is>
      </c>
      <c r="H100" t="inlineStr">
        <is>
          <t>fanagoriya-alveus-ultra-cuvee-ekstra-bryut-rozovoe-merlo-12</t>
        </is>
      </c>
      <c r="I100" t="inlineStr">
        <is>
          <t>novyy-svet-dom-shampanskih-vin-igristoe-vino-vyderzhannoe-polusladkoe-rozovoe-novyy-svet-pino-fran-135</t>
        </is>
      </c>
      <c r="J100" t="inlineStr">
        <is>
          <t>rozovoe-bryut-1</t>
        </is>
      </c>
      <c r="K100">
        <f>IF(C100="","",IFERROR(MATCH(C100,F100:J100,0),"нет"))</f>
        <v/>
      </c>
      <c r="L100">
        <f>IF(C100="","",IF(K100=1,1,0))</f>
        <v/>
      </c>
      <c r="M100">
        <f>IF(C100="","",IF(ISNUMBER(K100),1,0))</f>
        <v/>
      </c>
      <c r="N100" t="inlineStr">
        <is>
          <t>Alveus Ultra Cuvee Brut — Фанагория — Белое брют</t>
        </is>
      </c>
      <c r="O100" t="inlineStr">
        <is>
          <t>Alveus Ultra Cuvee. Экстра брют белое — Фанагория — Белое экстра брют</t>
        </is>
      </c>
      <c r="P100" t="inlineStr">
        <is>
          <t>Alveus Ultra Cuvee. Экстра брют розовое — Фанагория — Розовое экстра брют</t>
        </is>
      </c>
      <c r="Q100" t="inlineStr">
        <is>
          <t>Игристое вино выдержанное полусладкое розовое «Новый Свет. Пино Фран» — Новый Свет. Дом шампанских вин — Розовое полусладкое</t>
        </is>
      </c>
      <c r="R100" t="inlineStr">
        <is>
          <t>Розовое брют — Золотая Балка — Розовое брют</t>
        </is>
      </c>
      <c r="S100" s="3" t="n">
        <v>0.4834106862545013</v>
      </c>
      <c r="T100" s="3" t="n">
        <v>0.3764806091785431</v>
      </c>
      <c r="U100" t="n">
        <v>549.1</v>
      </c>
    </row>
    <row r="101">
      <c r="A101" t="inlineStr">
        <is>
          <t>97.23_05-09-2026_15-34-36.webp</t>
        </is>
      </c>
      <c r="B101" t="inlineStr">
        <is>
          <t>не уверен</t>
        </is>
      </c>
      <c r="C101" t="inlineStr">
        <is>
          <t>sovinon-blan</t>
        </is>
      </c>
      <c r="D101" t="inlineStr">
        <is>
          <t>Совиньон Блан — Литавщук. Litavshchuk vineyards &amp; winery — Белое полусладкое</t>
        </is>
      </c>
      <c r="E101" t="inlineStr">
        <is>
          <t>то что в slug полусладкое, а на фото полусухое</t>
        </is>
      </c>
      <c r="F101" t="inlineStr">
        <is>
          <t>sovinon-blan</t>
        </is>
      </c>
      <c r="G101" t="inlineStr">
        <is>
          <t>blagolyubov-sovinon-blan-beloe-suhoe-125</t>
        </is>
      </c>
      <c r="H101" t="inlineStr">
        <is>
          <t>risling-2</t>
        </is>
      </c>
      <c r="I101" t="inlineStr">
        <is>
          <t>vinodelnya-pokrovskaya-sovinon-blan-pokrovskoe-beloe-suhoe-12</t>
        </is>
      </c>
      <c r="J101" t="inlineStr">
        <is>
          <t>vinodelnya-begildeeva-kaberne-sovinon-krasnoe-suhoe-14</t>
        </is>
      </c>
      <c r="K101">
        <f>IF(C101="","",IFERROR(MATCH(C101,F101:J101,0),"нет"))</f>
        <v/>
      </c>
      <c r="L101">
        <f>IF(C101="","",IF(K101=1,1,0))</f>
        <v/>
      </c>
      <c r="M101">
        <f>IF(C101="","",IF(ISNUMBER(K101),1,0))</f>
        <v/>
      </c>
      <c r="N101" t="inlineStr">
        <is>
          <t>Совиньон Блан — Литавщук. Litavshchuk vineyards &amp; winery — Белое полусладкое</t>
        </is>
      </c>
      <c r="O101" t="inlineStr">
        <is>
          <t>Совиньон Блан — Благолюбов — Белое сухое</t>
        </is>
      </c>
      <c r="P101" t="inlineStr">
        <is>
          <t>Рислинг  — Литавщук. Litavshchuk vineyards &amp; winery — Белое полусухое</t>
        </is>
      </c>
      <c r="Q101" t="inlineStr">
        <is>
          <t>Совиньон Блан. Покровское — Винодельня Покровская — Белое сухое</t>
        </is>
      </c>
      <c r="R101" t="inlineStr">
        <is>
          <t>Каберне Совиньон — Винодельня Бегильдеева — Красное сухое</t>
        </is>
      </c>
      <c r="S101" s="3" t="n">
        <v>0.9999995231628418</v>
      </c>
      <c r="T101" s="3" t="n">
        <v>1.125351190012225e-07</v>
      </c>
      <c r="U101" t="n">
        <v>503.6</v>
      </c>
    </row>
  </sheetData>
  <autoFilter ref="A1:U101"/>
  <conditionalFormatting sqref="F2:J101">
    <cfRule type="expression" priority="1" dxfId="0">
      <formula>AND($C2&lt;&gt;"",F2=$C2)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34" customWidth="1" min="3" max="3"/>
    <col width="40" customWidth="1" min="4" max="4"/>
    <col width="30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9" customWidth="1" min="11" max="11"/>
    <col width="9" customWidth="1" min="12" max="12"/>
    <col width="9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12" customWidth="1" min="19" max="19"/>
    <col width="12" customWidth="1" min="20" max="20"/>
    <col width="10" customWidth="1" min="21" max="21"/>
  </cols>
  <sheetData>
    <row r="1">
      <c r="A1" s="5" t="inlineStr">
        <is>
          <t>Фото</t>
        </is>
      </c>
      <c r="B1" s="5" t="inlineStr">
        <is>
          <t>Статус разметки</t>
        </is>
      </c>
      <c r="C1" s="5" t="inlineStr">
        <is>
          <t>target</t>
        </is>
      </c>
      <c r="D1" s="5" t="inlineStr">
        <is>
          <t>target: вино</t>
        </is>
      </c>
      <c r="E1" s="5" t="inlineStr">
        <is>
          <t>Комментарий разметчика</t>
        </is>
      </c>
      <c r="F1" s="5" t="inlineStr">
        <is>
          <t>top-1</t>
        </is>
      </c>
      <c r="G1" s="5" t="inlineStr">
        <is>
          <t>top-2</t>
        </is>
      </c>
      <c r="H1" s="5" t="inlineStr">
        <is>
          <t>top-3</t>
        </is>
      </c>
      <c r="I1" s="5" t="inlineStr">
        <is>
          <t>top-4</t>
        </is>
      </c>
      <c r="J1" s="5" t="inlineStr">
        <is>
          <t>top-5</t>
        </is>
      </c>
      <c r="K1" s="5" t="inlineStr">
        <is>
          <t>Ранг target</t>
        </is>
      </c>
      <c r="L1" s="5" t="inlineStr">
        <is>
          <t>Верно top-1</t>
        </is>
      </c>
      <c r="M1" s="5" t="inlineStr">
        <is>
          <t>Верно top-5</t>
        </is>
      </c>
      <c r="N1" s="5" t="inlineStr">
        <is>
          <t>top-1: вино</t>
        </is>
      </c>
      <c r="O1" s="5" t="inlineStr">
        <is>
          <t>top-2: вино</t>
        </is>
      </c>
      <c r="P1" s="5" t="inlineStr">
        <is>
          <t>top-3: вино</t>
        </is>
      </c>
      <c r="Q1" s="5" t="inlineStr">
        <is>
          <t>top-4: вино</t>
        </is>
      </c>
      <c r="R1" s="5" t="inlineStr">
        <is>
          <t>top-5: вино</t>
        </is>
      </c>
      <c r="S1" s="5" t="inlineStr">
        <is>
          <t>top-1: вероятность VLM</t>
        </is>
      </c>
      <c r="T1" s="5" t="inlineStr">
        <is>
          <t>«нет в списке» (VLM)</t>
        </is>
      </c>
      <c r="U1" s="5" t="inlineStr">
        <is>
          <t>VLM, мс</t>
        </is>
      </c>
    </row>
    <row r="2">
      <c r="A2" t="inlineStr">
        <is>
          <t>1.73_06-09-2026_14-54-06.webp</t>
        </is>
      </c>
      <c r="B2" t="inlineStr">
        <is>
          <t>не уверен</t>
        </is>
      </c>
      <c r="C2" t="inlineStr">
        <is>
          <t>fanagoriya-rose-kaberne-fran-rozovoe-suhoe-13</t>
        </is>
      </c>
      <c r="D2" t="inlineStr">
        <is>
          <t>Rose. Каберне Фран — Фанагория — Розовое сухое</t>
        </is>
      </c>
      <c r="E2" t="inlineStr">
        <is>
          <t>договоримся так, после __ я буду писать свои комментарии. этого вина нет в наборе, но я не уверен</t>
        </is>
      </c>
      <c r="F2" t="inlineStr">
        <is>
          <t>rozovoe-polusladkoe</t>
        </is>
      </c>
      <c r="G2" t="inlineStr">
        <is>
          <t>fanagoriya-fanagoria-extra-brut-rose-2019-pino-nuar-igristoe-bryut-rozovoe-ekstra-bryut-12</t>
        </is>
      </c>
      <c r="H2" t="inlineStr">
        <is>
          <t>fanagoriya-rose-saperavi-rozovoe-polusuhoe-125</t>
        </is>
      </c>
      <c r="I2" t="inlineStr">
        <is>
          <t>fanagoriya-zelyonoe-vino-risling-tsitronnyy-magaracha-merlo-rozovoe-polusuhoe-11</t>
        </is>
      </c>
      <c r="J2" t="inlineStr">
        <is>
          <t>fanagoriya-beloe-polusladkoe</t>
        </is>
      </c>
      <c r="K2">
        <f>IF(C2="","",IFERROR(MATCH(C2,F2:J2,0),"нет"))</f>
        <v/>
      </c>
      <c r="L2">
        <f>IF(C2="","",IF(K2=1,1,0))</f>
        <v/>
      </c>
      <c r="M2">
        <f>IF(C2="","",IF(ISNUMBER(K2),1,0))</f>
        <v/>
      </c>
      <c r="N2" t="inlineStr">
        <is>
          <t>Розовое полусладкое — Фанагория — Розовое полусладкое</t>
        </is>
      </c>
      <c r="O2" t="inlineStr">
        <is>
          <t>Fanagoria Extra Brut Rose 2019 — Фанагория — Розовое экстра брют</t>
        </is>
      </c>
      <c r="P2" t="inlineStr">
        <is>
          <t>Rose. Саперави — Фанагория — Розовое полусухое</t>
        </is>
      </c>
      <c r="Q2" t="inlineStr">
        <is>
          <t>Зелёное вино. Рислинг - Цитронный Магарача - Мерло — Фанагория — Розовое полусухое</t>
        </is>
      </c>
      <c r="R2" t="inlineStr">
        <is>
          <t>Фанагория белое полусладкое — Фанагория — Белое полусладкое</t>
        </is>
      </c>
      <c r="S2" s="3" t="n">
        <v>0.4197989106178284</v>
      </c>
      <c r="T2" s="3" t="n">
        <v>0.004115563817322254</v>
      </c>
      <c r="U2" t="n">
        <v>2137.9</v>
      </c>
    </row>
    <row r="3">
      <c r="A3" t="inlineStr">
        <is>
          <t>2.69_27-08-2026_14-29-00.webp</t>
        </is>
      </c>
      <c r="B3" t="inlineStr">
        <is>
          <t>нет в каталоге</t>
        </is>
      </c>
      <c r="F3" t="inlineStr">
        <is>
          <t>shato-pino-gravitatsiya-kaberne-sovinon-merlo-krasnoe-suhoe-135</t>
        </is>
      </c>
      <c r="G3" t="inlineStr">
        <is>
          <t>shato-pino-marselan-merlo-krasnoe-suhoe-13</t>
        </is>
      </c>
      <c r="H3" t="inlineStr">
        <is>
          <t>shato-pino-sovinon-blan-semilon-beloe-suhoe-115</t>
        </is>
      </c>
      <c r="I3" t="inlineStr">
        <is>
          <t>shato-pino-shato-pino-koldun-merlo-krasnoe-suhoe-137</t>
        </is>
      </c>
      <c r="J3" t="inlineStr">
        <is>
          <t>shato-pino-grand-reserve-pinot-noir-pino-nuar-krasnoe-suhoe-135</t>
        </is>
      </c>
      <c r="K3">
        <f>IF(C3="","",IFERROR(MATCH(C3,F3:J3,0),"нет"))</f>
        <v/>
      </c>
      <c r="L3">
        <f>IF(C3="","",IF(K3=1,1,0))</f>
        <v/>
      </c>
      <c r="M3">
        <f>IF(C3="","",IF(ISNUMBER(K3),1,0))</f>
        <v/>
      </c>
      <c r="N3" t="inlineStr">
        <is>
          <t>Гравитация. Каберне Совиньон - Мерло — Шато Пино — Красное сухое</t>
        </is>
      </c>
      <c r="O3" t="inlineStr">
        <is>
          <t>Марселан - Мерло — Шато Пино — Красное сухое</t>
        </is>
      </c>
      <c r="P3" t="inlineStr">
        <is>
          <t>Совиньон Блан - Семильон — Шато Пино — Белое сухое</t>
        </is>
      </c>
      <c r="Q3" t="inlineStr">
        <is>
          <t>Шато Пино «Колдун» — Шато Пино — Красное сухое</t>
        </is>
      </c>
      <c r="R3" t="inlineStr">
        <is>
          <t>Grand Reserve Pinot Noir — Шато Пино — Красное сухое</t>
        </is>
      </c>
      <c r="S3" s="3" t="n">
        <v>0.9991082549095154</v>
      </c>
      <c r="T3" s="3" t="n">
        <v>0.0008040154352784157</v>
      </c>
      <c r="U3" t="n">
        <v>1011.3</v>
      </c>
    </row>
    <row r="4">
      <c r="A4" t="inlineStr">
        <is>
          <t>41.8_22-08-2026_20-56-40.webp</t>
        </is>
      </c>
      <c r="B4" t="inlineStr">
        <is>
          <t>нет в каталоге</t>
        </is>
      </c>
      <c r="F4" t="inlineStr">
        <is>
          <t>usadba-mezyb-shishka-pino-nuar-rozovoe-suhoe-115</t>
        </is>
      </c>
      <c r="G4" t="inlineStr">
        <is>
          <t>pino-nuar-2025</t>
        </is>
      </c>
      <c r="H4" t="inlineStr">
        <is>
          <t>pino-nuar</t>
        </is>
      </c>
      <c r="I4" t="inlineStr">
        <is>
          <t>bakla-vines-pino-nuar-krasnoe-suhoe-125</t>
        </is>
      </c>
      <c r="J4" t="inlineStr">
        <is>
          <t>usadba-perovskih-pino-nuar-rezerv-krasnoe-suhoe-122</t>
        </is>
      </c>
      <c r="K4">
        <f>IF(C4="","",IFERROR(MATCH(C4,F4:J4,0),"нет"))</f>
        <v/>
      </c>
      <c r="L4">
        <f>IF(C4="","",IF(K4=1,1,0))</f>
        <v/>
      </c>
      <c r="M4">
        <f>IF(C4="","",IF(ISNUMBER(K4),1,0))</f>
        <v/>
      </c>
      <c r="N4" t="inlineStr">
        <is>
          <t>Шишка. Пино Нуар — Усадьба Мезыбь — Розовое сухое</t>
        </is>
      </c>
      <c r="O4" t="inlineStr">
        <is>
          <t>Пино Нуар, 2025 — Винодельня Братьев Мельниковых — Розовое сухое</t>
        </is>
      </c>
      <c r="P4" t="inlineStr">
        <is>
          <t>Пино Нуар — Галицкий и Галицкий — Красное сухое</t>
        </is>
      </c>
      <c r="Q4" t="inlineStr">
        <is>
          <t>Пино Нуар — Bakla Vines — Красное сухое</t>
        </is>
      </c>
      <c r="R4" t="inlineStr">
        <is>
          <t>Пино Нуар Резерв — Усадьба Перовских — Красное сухое</t>
        </is>
      </c>
      <c r="S4" s="3" t="n">
        <v>0.9800048470497131</v>
      </c>
      <c r="T4" s="3" t="n">
        <v>0.01088687125593424</v>
      </c>
      <c r="U4" t="n">
        <v>1564.5</v>
      </c>
    </row>
    <row r="5">
      <c r="A5" t="inlineStr">
        <is>
          <t>48.98_02-09-2026_18-34-15.webp</t>
        </is>
      </c>
      <c r="B5" t="inlineStr">
        <is>
          <t>уверенно</t>
        </is>
      </c>
      <c r="C5" t="inlineStr">
        <is>
          <t>denisov_rubin_klaret_krasnaya_strelka</t>
        </is>
      </c>
      <c r="D5" t="inlineStr">
        <is>
          <t>Рубин кларет . Красная стрелка — Denisov Winery — Розовое сухое</t>
        </is>
      </c>
      <c r="F5" t="inlineStr">
        <is>
          <t>denisov_rubin_klaret_krasnaya_strelka</t>
        </is>
      </c>
      <c r="G5" t="inlineStr">
        <is>
          <t>denisov_pino_noir_klaret</t>
        </is>
      </c>
      <c r="H5" t="inlineStr">
        <is>
          <t>gunko-winery-krasnye-gliny-kaberne-fran-krasnoe-suhoe-14</t>
        </is>
      </c>
      <c r="I5" t="inlineStr">
        <is>
          <t>vinodelnya-pokrovskaya-pokrovskoe-sladkoe-krasnoe-kaberne-sovinon-13</t>
        </is>
      </c>
      <c r="J5" t="inlineStr">
        <is>
          <t>vinodelnya-konstantina-dzitoeva-kd-rezerv-merlo-krasnoe-suhoe-12</t>
        </is>
      </c>
      <c r="K5">
        <f>IF(C5="","",IFERROR(MATCH(C5,F5:J5,0),"нет"))</f>
        <v/>
      </c>
      <c r="L5">
        <f>IF(C5="","",IF(K5=1,1,0))</f>
        <v/>
      </c>
      <c r="M5">
        <f>IF(C5="","",IF(ISNUMBER(K5),1,0))</f>
        <v/>
      </c>
      <c r="N5" t="inlineStr">
        <is>
          <t>Рубин кларет . Красная стрелка — Denisov Winery — Розовое сухое</t>
        </is>
      </c>
      <c r="O5" t="inlineStr">
        <is>
          <t>Пино Нуар кларет. Красная стрелка — Denisov Winery — Розовое сухое</t>
        </is>
      </c>
      <c r="P5" t="inlineStr">
        <is>
          <t>Красные Глины — Gunko Winery — Красное сухое</t>
        </is>
      </c>
      <c r="Q5" t="inlineStr">
        <is>
          <t>Покровское сладкое красное — Винодельня Покровская — Красное сладкое</t>
        </is>
      </c>
      <c r="R5" t="inlineStr">
        <is>
          <t>KD Резерв — Винодельня Константина Дзитоева — Красное сухое</t>
        </is>
      </c>
      <c r="S5" s="3" t="n">
        <v>0.9999994039535522</v>
      </c>
      <c r="T5" s="3" t="n">
        <v>3.059021480567026e-07</v>
      </c>
      <c r="U5" t="n">
        <v>1322.3</v>
      </c>
    </row>
    <row r="6">
      <c r="A6" t="inlineStr">
        <is>
          <t>68.81_05-09-2026_15-46-31.webp</t>
        </is>
      </c>
      <c r="B6" t="inlineStr">
        <is>
          <t>нет в каталоге</t>
        </is>
      </c>
      <c r="F6" t="inlineStr">
        <is>
          <t>fanagoriya-velvet-season-muskat-ottonel-beloe-sladkoe-13</t>
        </is>
      </c>
      <c r="G6" t="inlineStr">
        <is>
          <t>vinodelnya-myshako-muskat-avtorskaya-tehnologiya-mono-beloe-suhoe-128</t>
        </is>
      </c>
      <c r="H6" t="inlineStr">
        <is>
          <t>fanagoriya-velvet-season-risling-beloe-sladkoe-12</t>
        </is>
      </c>
      <c r="I6" t="inlineStr">
        <is>
          <t>soyuz-vino-soyuz-vino-muskat-beloe-polusladkoe-11</t>
        </is>
      </c>
      <c r="J6" t="inlineStr">
        <is>
          <t>valeriy-zaharin-muskat-valeriy-zaharin-muskat-ottonel-beloe-polusladkoe-12</t>
        </is>
      </c>
      <c r="K6">
        <f>IF(C6="","",IFERROR(MATCH(C6,F6:J6,0),"нет"))</f>
        <v/>
      </c>
      <c r="L6">
        <f>IF(C6="","",IF(K6=1,1,0))</f>
        <v/>
      </c>
      <c r="M6">
        <f>IF(C6="","",IF(ISNUMBER(K6),1,0))</f>
        <v/>
      </c>
      <c r="N6" t="inlineStr">
        <is>
          <t>Velvet Season — Фанагория — Белое сладкое</t>
        </is>
      </c>
      <c r="O6" t="inlineStr">
        <is>
          <t>Мускат. Авторская технология. Моно — Мысхако — Белое сухое</t>
        </is>
      </c>
      <c r="P6" t="inlineStr">
        <is>
          <t>Velvet Season — Фанагория — Белое сладкое</t>
        </is>
      </c>
      <c r="Q6" t="inlineStr">
        <is>
          <t>Союз-Вино Мускат — Союз-Вино — Белое полусладкое</t>
        </is>
      </c>
      <c r="R6" t="inlineStr">
        <is>
          <t>Мускат. Валерий Захарьин — Валерий Захарьин — Белое полусладкое</t>
        </is>
      </c>
      <c r="S6" s="3" t="n">
        <v>0.9999978542327881</v>
      </c>
      <c r="T6" s="3" t="n">
        <v>8.315269610648102e-07</v>
      </c>
      <c r="U6" t="n">
        <v>1016.4</v>
      </c>
    </row>
    <row r="7">
      <c r="A7" t="inlineStr">
        <is>
          <t>70.45_04-09-2026_13-35-37.webp</t>
        </is>
      </c>
      <c r="B7" t="inlineStr">
        <is>
          <t>не уверен</t>
        </is>
      </c>
      <c r="C7" t="inlineStr">
        <is>
          <t>fanagoriya-formula-q-kaberne-sovinon-krasnoe-suhoe-135</t>
        </is>
      </c>
      <c r="D7" t="inlineStr">
        <is>
          <t>Формула Q — Фанагория — Красное сухое</t>
        </is>
      </c>
      <c r="E7" t="inlineStr">
        <is>
          <t>на фото слишком яркая этикетка, в каталоге более темная</t>
        </is>
      </c>
      <c r="F7" t="inlineStr">
        <is>
          <t>fanagoriya-formula-q-saperavi-krasnoe-suhoe-135</t>
        </is>
      </c>
      <c r="G7" t="inlineStr">
        <is>
          <t>fanagoriya-formula-q-kaberne-sovinon-krasnoe-suhoe-135</t>
        </is>
      </c>
      <c r="H7" t="inlineStr">
        <is>
          <t>fanagoriya-q-bordeaux-blend-kaberne-sovinon-krasnoe-suhoe-135</t>
        </is>
      </c>
      <c r="I7" t="inlineStr">
        <is>
          <t>fanagoriya-q-blanc-sovinon-blan-beloe-suhoe-14</t>
        </is>
      </c>
      <c r="J7" t="inlineStr">
        <is>
          <t>fanagoriya-beloe-polusladkoe</t>
        </is>
      </c>
      <c r="K7">
        <f>IF(C7="","",IFERROR(MATCH(C7,F7:J7,0),"нет"))</f>
        <v/>
      </c>
      <c r="L7">
        <f>IF(C7="","",IF(K7=1,1,0))</f>
        <v/>
      </c>
      <c r="M7">
        <f>IF(C7="","",IF(ISNUMBER(K7),1,0))</f>
        <v/>
      </c>
      <c r="N7" t="inlineStr">
        <is>
          <t>Formula Q — Фанагория — Красное сухое</t>
        </is>
      </c>
      <c r="O7" t="inlineStr">
        <is>
          <t>Формула Q — Фанагория — Красное сухое</t>
        </is>
      </c>
      <c r="P7" t="inlineStr">
        <is>
          <t>Q Bordeaux Blend — Фанагория — Красное сухое</t>
        </is>
      </c>
      <c r="Q7" t="inlineStr">
        <is>
          <t>Q Blanc — Фанагория — Белое сухое</t>
        </is>
      </c>
      <c r="R7" t="inlineStr">
        <is>
          <t>Фанагория белое полусладкое — Фанагория — Белое полусладкое</t>
        </is>
      </c>
      <c r="S7" s="3" t="n">
        <v>0.9999984502792358</v>
      </c>
      <c r="T7" s="3" t="n">
        <v>1.637374538177028e-07</v>
      </c>
      <c r="U7" t="n">
        <v>1523.7</v>
      </c>
    </row>
    <row r="8">
      <c r="A8" t="inlineStr">
        <is>
          <t>72.97_09-09-2026_19-38-57.webp</t>
        </is>
      </c>
      <c r="B8" t="inlineStr">
        <is>
          <t>нет в каталоге</t>
        </is>
      </c>
      <c r="F8" t="inlineStr">
        <is>
          <t>shato-pino-sovinon-blan-semilon-beloe-suhoe-115</t>
        </is>
      </c>
      <c r="G8" t="inlineStr">
        <is>
          <t>shato-pino-gravitatsiya-kaberne-sovinon-merlo-krasnoe-suhoe-135</t>
        </is>
      </c>
      <c r="H8" t="inlineStr">
        <is>
          <t>shato-pino-grand-reserve-chardonnay-shardone-beloe-suhoe-125</t>
        </is>
      </c>
      <c r="I8" t="inlineStr">
        <is>
          <t>shato-pino-marselan-merlo-krasnoe-suhoe-13</t>
        </is>
      </c>
      <c r="J8" t="inlineStr">
        <is>
          <t>shato-pino-grand-reserve-pinot-noir-pino-nuar-krasnoe-suhoe-135</t>
        </is>
      </c>
      <c r="K8">
        <f>IF(C8="","",IFERROR(MATCH(C8,F8:J8,0),"нет"))</f>
        <v/>
      </c>
      <c r="L8">
        <f>IF(C8="","",IF(K8=1,1,0))</f>
        <v/>
      </c>
      <c r="M8">
        <f>IF(C8="","",IF(ISNUMBER(K8),1,0))</f>
        <v/>
      </c>
      <c r="N8" t="inlineStr">
        <is>
          <t>Совиньон Блан - Семильон — Шато Пино — Белое сухое</t>
        </is>
      </c>
      <c r="O8" t="inlineStr">
        <is>
          <t>Гравитация. Каберне Совиньон - Мерло — Шато Пино — Красное сухое</t>
        </is>
      </c>
      <c r="P8" t="inlineStr">
        <is>
          <t>Grand Reserve Chardonnay — Шато Пино — Белое сухое</t>
        </is>
      </c>
      <c r="Q8" t="inlineStr">
        <is>
          <t>Марселан - Мерло — Шато Пино — Красное сухое</t>
        </is>
      </c>
      <c r="R8" t="inlineStr">
        <is>
          <t>Grand Reserve Pinot Noir — Шато Пино — Красное сухое</t>
        </is>
      </c>
      <c r="S8" s="3" t="n">
        <v>0.3465498983860016</v>
      </c>
      <c r="T8" s="3" t="n">
        <v>0.6474404335021973</v>
      </c>
      <c r="U8" t="n">
        <v>951.9</v>
      </c>
    </row>
    <row r="9">
      <c r="A9" t="inlineStr">
        <is>
          <t>82.33_27-08-2026_10-03-52.webp</t>
        </is>
      </c>
      <c r="B9" t="inlineStr">
        <is>
          <t>уверенно</t>
        </is>
      </c>
      <c r="C9" t="inlineStr">
        <is>
          <t>skalistyj-bereg-shepot-czvetov</t>
        </is>
      </c>
      <c r="D9" t="inlineStr">
        <is>
          <t>Скалистый берег Шепот цветов — Скалистый берег — Белое сухое</t>
        </is>
      </c>
      <c r="F9" t="inlineStr">
        <is>
          <t>skalistyj-bereg-shepot-czvetov</t>
        </is>
      </c>
      <c r="G9" t="inlineStr">
        <is>
          <t>skalistyy-bereg-melodiya-leta-krasnostop-zolotovskiy-rozovoe-suhoe-126</t>
        </is>
      </c>
      <c r="H9" t="inlineStr">
        <is>
          <t>skalistyy-bereg-dyhanie-voln-shardone-beloe-suhoe-121</t>
        </is>
      </c>
      <c r="I9" t="inlineStr">
        <is>
          <t>vysokij-bereg-czvajgelt</t>
        </is>
      </c>
      <c r="J9" t="inlineStr">
        <is>
          <t>kuban-vino-vysokiy-bereg-grafit-roze-kaberne-sovinon-rozovoe-suhoe-12</t>
        </is>
      </c>
      <c r="K9">
        <f>IF(C9="","",IFERROR(MATCH(C9,F9:J9,0),"нет"))</f>
        <v/>
      </c>
      <c r="L9">
        <f>IF(C9="","",IF(K9=1,1,0))</f>
        <v/>
      </c>
      <c r="M9">
        <f>IF(C9="","",IF(ISNUMBER(K9),1,0))</f>
        <v/>
      </c>
      <c r="N9" t="inlineStr">
        <is>
          <t>Скалистый берег Шепот цветов — Скалистый берег — Белое сухое</t>
        </is>
      </c>
      <c r="O9" t="inlineStr">
        <is>
          <t>Мелодия лета — Скалистый берег — Розовое сухое</t>
        </is>
      </c>
      <c r="P9" t="inlineStr">
        <is>
          <t>Дыхание волн — Скалистый берег — Белое сухое</t>
        </is>
      </c>
      <c r="Q9" t="inlineStr">
        <is>
          <t>Высокий Берег Цвайгельт — Кубань-Вино — Розовое сухое</t>
        </is>
      </c>
      <c r="R9" t="inlineStr">
        <is>
          <t>Высокий Берег Графит Розе — Кубань-Вино — Розовое сухое</t>
        </is>
      </c>
      <c r="S9" s="3" t="n">
        <v>0.9999998807907104</v>
      </c>
      <c r="T9" s="3" t="n">
        <v>4.691163724146463e-08</v>
      </c>
      <c r="U9" t="n">
        <v>1242.3</v>
      </c>
    </row>
    <row r="10">
      <c r="A10" t="inlineStr">
        <is>
          <t>84.73_07-09-2026_11-07-51.webp</t>
        </is>
      </c>
      <c r="B10" t="inlineStr">
        <is>
          <t>уверенно</t>
        </is>
      </c>
      <c r="C10" t="inlineStr">
        <is>
          <t>zhemchuzhnaya-9-aligote-czitron</t>
        </is>
      </c>
      <c r="D10" t="inlineStr">
        <is>
          <t>Жемчужная 9 Алиготе, Цитрон — АРАТТИ — Белое сухое</t>
        </is>
      </c>
      <c r="F10" t="inlineStr">
        <is>
          <t>zhemchuzhnaya-9-aligote-czitron</t>
        </is>
      </c>
      <c r="G10" t="inlineStr">
        <is>
          <t>zhemchuzhnaya-9-czitron-shardone</t>
        </is>
      </c>
      <c r="H10" t="inlineStr">
        <is>
          <t>zhemchuzhnaya-9-czitron-shardone-1</t>
        </is>
      </c>
      <c r="I10" t="inlineStr">
        <is>
          <t>zhemchuzhnaya-9-sovinon-blan-aligote</t>
        </is>
      </c>
      <c r="J10" t="inlineStr">
        <is>
          <t>czitronnyj-magaracha-sovinon-blan</t>
        </is>
      </c>
      <c r="K10">
        <f>IF(C10="","",IFERROR(MATCH(C10,F10:J10,0),"нет"))</f>
        <v/>
      </c>
      <c r="L10">
        <f>IF(C10="","",IF(K10=1,1,0))</f>
        <v/>
      </c>
      <c r="M10">
        <f>IF(C10="","",IF(ISNUMBER(K10),1,0))</f>
        <v/>
      </c>
      <c r="N10" t="inlineStr">
        <is>
          <t>Жемчужная 9 Алиготе, Цитрон — АРАТТИ — Белое сухое</t>
        </is>
      </c>
      <c r="O10" t="inlineStr">
        <is>
          <t>Жемчужная 9 Цитрон, Шардоне — АРАТТИ — Белое сухое</t>
        </is>
      </c>
      <c r="P10" t="inlineStr">
        <is>
          <t>Жемчужная 9 Цитрон, Шардоне — АРАТТИ — Белое полусладкое</t>
        </is>
      </c>
      <c r="Q10" t="inlineStr">
        <is>
          <t>Жемчужная 9 Совиньон блан, Алиготе — АРАТТИ — Белое сухое</t>
        </is>
      </c>
      <c r="R10" t="inlineStr">
        <is>
          <t>Жемчужная 9 Цитрон, Совиньон блан — АРАТТИ — Белое полусухое</t>
        </is>
      </c>
      <c r="S10" s="3" t="n">
        <v>0.9999983310699463</v>
      </c>
      <c r="T10" s="3" t="n">
        <v>1.444977897335775e-07</v>
      </c>
      <c r="U10" t="n">
        <v>990.7</v>
      </c>
    </row>
    <row r="11">
      <c r="A11" t="inlineStr">
        <is>
          <t>87.09_22-08-2026_20-57-16.webp</t>
        </is>
      </c>
      <c r="B11" t="inlineStr">
        <is>
          <t>уверенно</t>
        </is>
      </c>
      <c r="C11" t="inlineStr">
        <is>
          <t>pobeda</t>
        </is>
      </c>
      <c r="D11" t="inlineStr">
        <is>
          <t>Победа — Табия — Красное сухое</t>
        </is>
      </c>
      <c r="F11" t="inlineStr">
        <is>
          <t>pobeda</t>
        </is>
      </c>
      <c r="G11" t="inlineStr">
        <is>
          <t>rubin-golodrigi</t>
        </is>
      </c>
      <c r="H11" t="inlineStr">
        <is>
          <t>kaberne-sovinon-2</t>
        </is>
      </c>
      <c r="I11" t="inlineStr">
        <is>
          <t>vinodelnya-begildeeva-kaberne-sovinon-krasnoe-suhoe-14</t>
        </is>
      </c>
      <c r="J11" t="inlineStr">
        <is>
          <t>bukovinka</t>
        </is>
      </c>
      <c r="K11">
        <f>IF(C11="","",IFERROR(MATCH(C11,F11:J11,0),"нет"))</f>
        <v/>
      </c>
      <c r="L11">
        <f>IF(C11="","",IF(K11=1,1,0))</f>
        <v/>
      </c>
      <c r="M11">
        <f>IF(C11="","",IF(ISNUMBER(K11),1,0))</f>
        <v/>
      </c>
      <c r="N11" t="inlineStr">
        <is>
          <t>Победа — Табия — Красное сухое</t>
        </is>
      </c>
      <c r="O11" t="inlineStr">
        <is>
          <t>Рубин Голодриги  — Табия — Красное сухое</t>
        </is>
      </c>
      <c r="P11" t="inlineStr">
        <is>
          <t>Каберне Совиньон — Табия — Красное сухое</t>
        </is>
      </c>
      <c r="Q11" t="inlineStr">
        <is>
          <t>Каберне Совиньон — Винодельня Бегильдеева — Красное сухое</t>
        </is>
      </c>
      <c r="R11" t="inlineStr">
        <is>
          <t>Буковинка — Табия — Белое полусухое</t>
        </is>
      </c>
      <c r="S11" s="3" t="n">
        <v>0.9999997615814209</v>
      </c>
      <c r="T11" s="3" t="n">
        <v>1.444980028963982e-07</v>
      </c>
      <c r="U11" t="n">
        <v>853.6</v>
      </c>
    </row>
    <row r="12">
      <c r="A12" t="inlineStr">
        <is>
          <t>87.54_03-09-2026_13-27-53.webp</t>
        </is>
      </c>
      <c r="B12" t="inlineStr">
        <is>
          <t>уверенно</t>
        </is>
      </c>
      <c r="C12" t="inlineStr">
        <is>
          <t>relikta-relikta-sira-kaberne-fran-krasnoe-suhoe-13</t>
        </is>
      </c>
      <c r="D12" t="inlineStr">
        <is>
          <t>Реликта Сира, Каберне Фран — Реликта — Красное сухое</t>
        </is>
      </c>
      <c r="F12" t="inlineStr">
        <is>
          <t>relikta-relikta-sira-kaberne-fran-krasnoe-suhoe-13</t>
        </is>
      </c>
      <c r="G12" t="inlineStr">
        <is>
          <t>relikta-relikta-sira-krasnoe-suhoe-13</t>
        </is>
      </c>
      <c r="H12" t="inlineStr">
        <is>
          <t>relikta-relikta-kaberne-sovinon-krasnoe-suhoe-135</t>
        </is>
      </c>
      <c r="I12" t="inlineStr">
        <is>
          <t>relikta-relikta-merlo-kaberne-sovinon-krasnoe-suhoe-135</t>
        </is>
      </c>
      <c r="J12" t="inlineStr">
        <is>
          <t>relikta-relikta-merlo-krasnoe-suhoe-135</t>
        </is>
      </c>
      <c r="K12">
        <f>IF(C12="","",IFERROR(MATCH(C12,F12:J12,0),"нет"))</f>
        <v/>
      </c>
      <c r="L12">
        <f>IF(C12="","",IF(K12=1,1,0))</f>
        <v/>
      </c>
      <c r="M12">
        <f>IF(C12="","",IF(ISNUMBER(K12),1,0))</f>
        <v/>
      </c>
      <c r="N12" t="inlineStr">
        <is>
          <t>Реликта Сира, Каберне Фран — Реликта — Красное сухое</t>
        </is>
      </c>
      <c r="O12" t="inlineStr">
        <is>
          <t>Реликта Сира — Реликта — Красное сухое</t>
        </is>
      </c>
      <c r="P12" t="inlineStr">
        <is>
          <t>Реликта Каберне Совиньон — Реликта — Красное сухое</t>
        </is>
      </c>
      <c r="Q12" t="inlineStr">
        <is>
          <t>Реликта Мерло, Каберне Совиньон — Реликта — Красное сухое</t>
        </is>
      </c>
      <c r="R12" t="inlineStr">
        <is>
          <t>Реликта Мерло — Реликта — Красное сухое</t>
        </is>
      </c>
      <c r="S12" s="3" t="n">
        <v>0.9999998807907104</v>
      </c>
      <c r="T12" s="3" t="n">
        <v>3.653481783771895e-08</v>
      </c>
      <c r="U12" t="n">
        <v>1781.9</v>
      </c>
    </row>
    <row r="13">
      <c r="A13" t="inlineStr">
        <is>
          <t>87.6_20-08-2026_19-56-56.webp</t>
        </is>
      </c>
      <c r="B13" t="inlineStr">
        <is>
          <t>не уверен</t>
        </is>
      </c>
      <c r="C13" t="inlineStr">
        <is>
          <t>leto-shardone-2023-suhoe-beloe</t>
        </is>
      </c>
      <c r="D13" t="inlineStr">
        <is>
          <t>LETO Шардоне 2023 сухое белое — LETO — Белое сухое</t>
        </is>
      </c>
      <c r="E13" t="inlineStr">
        <is>
          <t>есть такое, но на фото черная этикетка вместо белой</t>
        </is>
      </c>
      <c r="F13" t="inlineStr">
        <is>
          <t>vinodelnya-konstantina-dzitoeva-kd-shardone-beloe-suhoe-128</t>
        </is>
      </c>
      <c r="G13" t="inlineStr">
        <is>
          <t>vinodelnya-uzunov-rash-rezerv-risling-reynskiy-beloe-suhoe-127</t>
        </is>
      </c>
      <c r="H13" t="inlineStr">
        <is>
          <t>vinodelnya-uzunov-shardone-rezerv-beloe-suhoe-135</t>
        </is>
      </c>
      <c r="I13" t="inlineStr">
        <is>
          <t>shardone-rezerv</t>
        </is>
      </c>
      <c r="J13" t="inlineStr">
        <is>
          <t>vinodelnya-myshako-shardone-avtorskaya-tehnologiya-beloe-suhoe-155</t>
        </is>
      </c>
      <c r="K13">
        <f>IF(C13="","",IFERROR(MATCH(C13,F13:J13,0),"нет"))</f>
        <v/>
      </c>
      <c r="L13">
        <f>IF(C13="","",IF(K13=1,1,0))</f>
        <v/>
      </c>
      <c r="M13">
        <f>IF(C13="","",IF(ISNUMBER(K13),1,0))</f>
        <v/>
      </c>
      <c r="N13" t="inlineStr">
        <is>
          <t>KD Шардоне — Винодельня Константина Дзитоева — Белое сухое</t>
        </is>
      </c>
      <c r="O13" t="inlineStr">
        <is>
          <t>РАШ Резерв — Винодельня Узунов — Белое сухое</t>
        </is>
      </c>
      <c r="P13" t="inlineStr">
        <is>
          <t>Шардоне Резерв — Винодельня Узунов — Белое сухое</t>
        </is>
      </c>
      <c r="Q13" t="inlineStr">
        <is>
          <t>Шардоне Резерв — Усадьба Перовских — Белое сухое</t>
        </is>
      </c>
      <c r="R13" t="inlineStr">
        <is>
          <t>Шардоне авторская технология — Мысхако — Белое сухое</t>
        </is>
      </c>
      <c r="S13" s="3" t="n">
        <v>0.9992178678512573</v>
      </c>
      <c r="T13" s="3" t="n">
        <v>2.900050731113879e-06</v>
      </c>
      <c r="U13" t="n">
        <v>1278.5</v>
      </c>
    </row>
    <row r="14">
      <c r="A14" t="inlineStr">
        <is>
          <t>87.81_09-09-2026_17-16-36.webp</t>
        </is>
      </c>
      <c r="B14" t="inlineStr">
        <is>
          <t>не уверен</t>
        </is>
      </c>
      <c r="C14" t="inlineStr">
        <is>
          <t>aya-organic-wine-vineyards-purity-in-chenin-blanc-shenen-blan-beloe-suhoe-11</t>
        </is>
      </c>
      <c r="D14" t="inlineStr">
        <is>
          <t>Purity in Chenin Blanc — AYA Organic Wine &amp; Vineyards — Белое сухое</t>
        </is>
      </c>
      <c r="E14" t="inlineStr">
        <is>
          <t>есть похожее, но в названии вместо in balance написано in-chenin-blanc</t>
        </is>
      </c>
      <c r="F14" t="inlineStr">
        <is>
          <t>aya-organic-wine-vineyards-purity-in-chenin-blanc-shenen-blan-beloe-suhoe-11</t>
        </is>
      </c>
      <c r="G14" t="inlineStr">
        <is>
          <t>aya-organic-wine-vineyards-purity-in-syrah-sira-rozovoe-suhoe-132</t>
        </is>
      </c>
      <c r="H14" t="inlineStr">
        <is>
          <t>aya-organic-wine-vineyards-purity-in-merlot-merlo-rozovoe-suhoe-134</t>
        </is>
      </c>
      <c r="I14" t="inlineStr">
        <is>
          <t>aya-organic-wine-vineyards-purity-in-syrah-sira-krasnoe-suhoe-146</t>
        </is>
      </c>
      <c r="J14" t="inlineStr">
        <is>
          <t>aya-organic-wine-vineyards-purity-in-trinity-pino-nuar-rozovoe-suhoe-13</t>
        </is>
      </c>
      <c r="K14">
        <f>IF(C14="","",IFERROR(MATCH(C14,F14:J14,0),"нет"))</f>
        <v/>
      </c>
      <c r="L14">
        <f>IF(C14="","",IF(K14=1,1,0))</f>
        <v/>
      </c>
      <c r="M14">
        <f>IF(C14="","",IF(ISNUMBER(K14),1,0))</f>
        <v/>
      </c>
      <c r="N14" t="inlineStr">
        <is>
          <t>Purity in Chenin Blanc — AYA Organic Wine &amp; Vineyards — Белое сухое</t>
        </is>
      </c>
      <c r="O14" t="inlineStr">
        <is>
          <t>Purity in Syrah — AYA Organic Wine &amp; Vineyards — Розовое сухое</t>
        </is>
      </c>
      <c r="P14" t="inlineStr">
        <is>
          <t>Purity in Merlot — AYA Organic Wine &amp; Vineyards — Розовое сухое</t>
        </is>
      </c>
      <c r="Q14" t="inlineStr">
        <is>
          <t>Purity in Syrah — AYA Organic Wine &amp; Vineyards — Красное сухое</t>
        </is>
      </c>
      <c r="R14" t="inlineStr">
        <is>
          <t>Purity in Trinity — AYA Organic Wine &amp; Vineyards — Розовое сухое</t>
        </is>
      </c>
      <c r="S14" s="3" t="n">
        <v>0.3206150233745575</v>
      </c>
      <c r="T14" s="3" t="n">
        <v>0.678741991519928</v>
      </c>
      <c r="U14" t="n">
        <v>954.5</v>
      </c>
    </row>
    <row r="15">
      <c r="A15" t="inlineStr">
        <is>
          <t>87.88_28-08-2026_16-56-20.webp</t>
        </is>
      </c>
      <c r="B15" t="inlineStr">
        <is>
          <t>не уверен</t>
        </is>
      </c>
      <c r="C15" t="inlineStr">
        <is>
          <t>massandra-muskatel-belyy-belye-sorta-vinograda-beloe-sladkoe-16</t>
        </is>
      </c>
      <c r="D15" t="inlineStr">
        <is>
          <t>Мускатель белый — Массандра — Белое сладкое</t>
        </is>
      </c>
      <c r="E15" t="inlineStr">
        <is>
          <t>есть такое, но год урожая отличается</t>
        </is>
      </c>
      <c r="F15" t="inlineStr">
        <is>
          <t>massandra-muskatel-belyy-belye-sorta-vinograda-beloe-sladkoe-16</t>
        </is>
      </c>
      <c r="G15" t="inlineStr">
        <is>
          <t>massandra-muskat-belyy-krasnogo-kamnya-beloe-sladkoe-13</t>
        </is>
      </c>
      <c r="H15" t="inlineStr">
        <is>
          <t>massandra-muskatel-rozovyy-belye-sorta-vinograda-rozovoe-sladkoe-16</t>
        </is>
      </c>
      <c r="I15" t="inlineStr">
        <is>
          <t>massandra-muskatel-chernyy-krasnye-sorta-vinograda-krasnoe-sladkoe-16</t>
        </is>
      </c>
      <c r="J15" t="inlineStr">
        <is>
          <t>massandra-muskat-belyy-yuzhnoberezhnyy-beloe-sladkoe-16</t>
        </is>
      </c>
      <c r="K15">
        <f>IF(C15="","",IFERROR(MATCH(C15,F15:J15,0),"нет"))</f>
        <v/>
      </c>
      <c r="L15">
        <f>IF(C15="","",IF(K15=1,1,0))</f>
        <v/>
      </c>
      <c r="M15">
        <f>IF(C15="","",IF(ISNUMBER(K15),1,0))</f>
        <v/>
      </c>
      <c r="N15" t="inlineStr">
        <is>
          <t>Мускатель белый — Массандра — Белое сладкое</t>
        </is>
      </c>
      <c r="O15" t="inlineStr">
        <is>
          <t>Мускат белый красного камня — Массандра — Белое сладкое</t>
        </is>
      </c>
      <c r="P15" t="inlineStr">
        <is>
          <t>Мускатель розовый — Массандра — Розовое сладкое</t>
        </is>
      </c>
      <c r="Q15" t="inlineStr">
        <is>
          <t>Мускатель черный — Массандра — Красное сладкое</t>
        </is>
      </c>
      <c r="R15" t="inlineStr">
        <is>
          <t>Мускат Белый Южнобережный — Массандра — Белое сладкое</t>
        </is>
      </c>
      <c r="S15" s="3" t="n">
        <v>0.9999923706054688</v>
      </c>
      <c r="T15" s="3" t="n">
        <v>5.043438022767077e-07</v>
      </c>
      <c r="U15" t="n">
        <v>1119.3</v>
      </c>
    </row>
    <row r="16">
      <c r="A16" t="inlineStr">
        <is>
          <t>88.2_05-09-2026_16-29-06.webp</t>
        </is>
      </c>
      <c r="B16" t="inlineStr">
        <is>
          <t>нет в каталоге</t>
        </is>
      </c>
      <c r="F16" t="inlineStr">
        <is>
          <t>vinodelnya-begildeeva-kaberne-sovinon-krasnoe-suhoe-14</t>
        </is>
      </c>
      <c r="G16" t="inlineStr">
        <is>
          <t>inkerman-shato-ruzh</t>
        </is>
      </c>
      <c r="H16" t="inlineStr">
        <is>
          <t>kuban-vino-kaberne-de-tamane-kaberne-sovinon-krasnoe-suhoe-125</t>
        </is>
      </c>
      <c r="I16" t="inlineStr">
        <is>
          <t>inkermanskiy-zmv-winemakers-selection-saperavi-krasnoe-polusladkoe-12</t>
        </is>
      </c>
      <c r="J16" t="inlineStr">
        <is>
          <t>inkerman-shato-blan</t>
        </is>
      </c>
      <c r="K16">
        <f>IF(C16="","",IFERROR(MATCH(C16,F16:J16,0),"нет"))</f>
        <v/>
      </c>
      <c r="L16">
        <f>IF(C16="","",IF(K16=1,1,0))</f>
        <v/>
      </c>
      <c r="M16">
        <f>IF(C16="","",IF(ISNUMBER(K16),1,0))</f>
        <v/>
      </c>
      <c r="N16" t="inlineStr">
        <is>
          <t>Каберне Совиньон — Винодельня Бегильдеева — Красное сухое</t>
        </is>
      </c>
      <c r="O16" t="inlineStr">
        <is>
          <t>Inkerman Шато Руж — Инкерманский ЗМВ — Красное полусухое</t>
        </is>
      </c>
      <c r="P16" t="inlineStr">
        <is>
          <t>Каберне де Тамань — Кубань-Вино — Красное сухое</t>
        </is>
      </c>
      <c r="Q16" t="inlineStr">
        <is>
          <t>Winemaker's Selection Саперави — Инкерманский ЗМВ — Красное полусладкое</t>
        </is>
      </c>
      <c r="R16" t="inlineStr">
        <is>
          <t>Инкерман Шато Блан — Инкерманский ЗМВ — Белое полусухое</t>
        </is>
      </c>
      <c r="S16" s="3" t="n">
        <v>0.8333369493484497</v>
      </c>
      <c r="T16" s="3" t="n">
        <v>0.0001496341428719461</v>
      </c>
      <c r="U16" t="n">
        <v>1019.9</v>
      </c>
    </row>
    <row r="17">
      <c r="A17" t="inlineStr">
        <is>
          <t>88.38_20-08-2026_18-32-58.webp</t>
        </is>
      </c>
      <c r="B17" t="inlineStr">
        <is>
          <t>уверенно</t>
        </is>
      </c>
      <c r="C17" t="inlineStr">
        <is>
          <t>czitronnyj-magaracha-sovinon-blan</t>
        </is>
      </c>
      <c r="D17" t="inlineStr">
        <is>
          <t>Жемчужная 9 Цитрон, Совиньон блан — АРАТТИ — Белое полусухое</t>
        </is>
      </c>
      <c r="F17" t="inlineStr">
        <is>
          <t>czitronnyj-magaracha-sovinon-blan</t>
        </is>
      </c>
      <c r="G17" t="inlineStr">
        <is>
          <t>zhemchuzhnaya-9-risling-sovinon-blan</t>
        </is>
      </c>
      <c r="H17" t="inlineStr">
        <is>
          <t>zhemchuzhnaya-9-czitron-shardone-1</t>
        </is>
      </c>
      <c r="I17" t="inlineStr">
        <is>
          <t>zhemchuzhnaya-9-aligote-czitron</t>
        </is>
      </c>
      <c r="J17" t="inlineStr">
        <is>
          <t>zhemchuzhnaya-9-czitron-shardone</t>
        </is>
      </c>
      <c r="K17">
        <f>IF(C17="","",IFERROR(MATCH(C17,F17:J17,0),"нет"))</f>
        <v/>
      </c>
      <c r="L17">
        <f>IF(C17="","",IF(K17=1,1,0))</f>
        <v/>
      </c>
      <c r="M17">
        <f>IF(C17="","",IF(ISNUMBER(K17),1,0))</f>
        <v/>
      </c>
      <c r="N17" t="inlineStr">
        <is>
          <t>Жемчужная 9 Цитрон, Совиньон блан — АРАТТИ — Белое полусухое</t>
        </is>
      </c>
      <c r="O17" t="inlineStr">
        <is>
          <t>Жемчужная 9 Рислинг,Совиньон блан — АРАТТИ — Белое полусухое</t>
        </is>
      </c>
      <c r="P17" t="inlineStr">
        <is>
          <t>Жемчужная 9 Цитрон, Шардоне — АРАТТИ — Белое полусладкое</t>
        </is>
      </c>
      <c r="Q17" t="inlineStr">
        <is>
          <t>Жемчужная 9 Алиготе, Цитрон — АРАТТИ — Белое сухое</t>
        </is>
      </c>
      <c r="R17" t="inlineStr">
        <is>
          <t>Жемчужная 9 Цитрон, Шардоне — АРАТТИ — Белое сухое</t>
        </is>
      </c>
      <c r="S17" s="3" t="n">
        <v>0.9999998807907104</v>
      </c>
      <c r="T17" s="3" t="n">
        <v>4.691163724146463e-08</v>
      </c>
      <c r="U17" t="n">
        <v>966.7</v>
      </c>
    </row>
    <row r="18">
      <c r="A18" t="inlineStr">
        <is>
          <t>89.65_19-08-2026_19-48-39.webp</t>
        </is>
      </c>
      <c r="B18" t="inlineStr">
        <is>
          <t>уверенно</t>
        </is>
      </c>
      <c r="C18" t="inlineStr">
        <is>
          <t>rozovoe-zoloto</t>
        </is>
      </c>
      <c r="D18" t="inlineStr">
        <is>
          <t>Розовое золото — Табия — Розовое полусухое</t>
        </is>
      </c>
      <c r="F18" t="inlineStr">
        <is>
          <t>rozovoe-zoloto</t>
        </is>
      </c>
      <c r="G18" t="inlineStr">
        <is>
          <t>roze-2</t>
        </is>
      </c>
      <c r="H18" t="inlineStr">
        <is>
          <t>bukovinka</t>
        </is>
      </c>
      <c r="I18" t="inlineStr">
        <is>
          <t>rozovaya-pantera</t>
        </is>
      </c>
      <c r="J18" t="inlineStr">
        <is>
          <t>rubin-golodrigi</t>
        </is>
      </c>
      <c r="K18">
        <f>IF(C18="","",IFERROR(MATCH(C18,F18:J18,0),"нет"))</f>
        <v/>
      </c>
      <c r="L18">
        <f>IF(C18="","",IF(K18=1,1,0))</f>
        <v/>
      </c>
      <c r="M18">
        <f>IF(C18="","",IF(ISNUMBER(K18),1,0))</f>
        <v/>
      </c>
      <c r="N18" t="inlineStr">
        <is>
          <t>Розовое золото — Табия — Розовое полусухое</t>
        </is>
      </c>
      <c r="O18" t="inlineStr">
        <is>
          <t>Розе — Табия — Розовое сухое</t>
        </is>
      </c>
      <c r="P18" t="inlineStr">
        <is>
          <t>Буковинка — Табия — Белое полусухое</t>
        </is>
      </c>
      <c r="Q18" t="inlineStr">
        <is>
          <t>Розовая Пантера полусладкое розовое — АРАТТИ — Розовое полусладкое</t>
        </is>
      </c>
      <c r="R18" t="inlineStr">
        <is>
          <t>Рубин Голодриги  — Табия — Красное сухое</t>
        </is>
      </c>
      <c r="S18" s="3" t="n">
        <v>0.9999992847442627</v>
      </c>
      <c r="T18" s="3" t="n">
        <v>2.102432290485012e-07</v>
      </c>
      <c r="U18" t="n">
        <v>805.3</v>
      </c>
    </row>
    <row r="19">
      <c r="A19" t="inlineStr">
        <is>
          <t>90.5_02-09-2026_10-32-11.webp</t>
        </is>
      </c>
      <c r="B19" t="inlineStr">
        <is>
          <t>нет в каталоге</t>
        </is>
      </c>
      <c r="F19" t="inlineStr">
        <is>
          <t>inkermanskiy-zmv-inkerman-rozovoe-polusladkoe-rkatsiteli-12</t>
        </is>
      </c>
      <c r="G19" t="inlineStr">
        <is>
          <t>inkermanskiy-zmv-inkerman-polusladkoe-roze-aligote-rozovoe-135</t>
        </is>
      </c>
      <c r="H19" t="inlineStr">
        <is>
          <t>inkerman-shato-ruzh</t>
        </is>
      </c>
      <c r="I19" t="inlineStr">
        <is>
          <t>inkerman-muskatnoe-beloe</t>
        </is>
      </c>
      <c r="J19" t="inlineStr">
        <is>
          <t>inkerman-shato-blan</t>
        </is>
      </c>
      <c r="K19">
        <f>IF(C19="","",IFERROR(MATCH(C19,F19:J19,0),"нет"))</f>
        <v/>
      </c>
      <c r="L19">
        <f>IF(C19="","",IF(K19=1,1,0))</f>
        <v/>
      </c>
      <c r="M19">
        <f>IF(C19="","",IF(ISNUMBER(K19),1,0))</f>
        <v/>
      </c>
      <c r="N19" t="inlineStr">
        <is>
          <t>Инкерман Розовое полусладкое — Инкерманский ЗМВ — Розовое полусладкое</t>
        </is>
      </c>
      <c r="O19" t="inlineStr">
        <is>
          <t>Inkerman полусладкое розе — Инкерманский ЗМВ — Розовое полусладкое</t>
        </is>
      </c>
      <c r="P19" t="inlineStr">
        <is>
          <t>Inkerman Шато Руж — Инкерманский ЗМВ — Красное полусухое</t>
        </is>
      </c>
      <c r="Q19" t="inlineStr">
        <is>
          <t>Inkerman Мускатное белое — Инкерманский ЗМВ — Белое полусладкое</t>
        </is>
      </c>
      <c r="R19" t="inlineStr">
        <is>
          <t>Инкерман Шато Блан — Инкерманский ЗМВ — Белое полусухое</t>
        </is>
      </c>
      <c r="S19" s="3" t="n">
        <v>0.6991755962371826</v>
      </c>
      <c r="T19" s="3" t="n">
        <v>1.790790520317387e-06</v>
      </c>
      <c r="U19" t="n">
        <v>1036.3</v>
      </c>
    </row>
    <row r="20">
      <c r="A20" t="inlineStr">
        <is>
          <t>91.07_20-08-2026_18-37-46.webp</t>
        </is>
      </c>
      <c r="B20" t="inlineStr">
        <is>
          <t>уверенно</t>
        </is>
      </c>
      <c r="C20" t="inlineStr">
        <is>
          <t>aratti-kaberne-sovinon-2021-krasnoe-suhoe</t>
        </is>
      </c>
      <c r="D20" t="inlineStr">
        <is>
          <t>АРАТТИ Каберне Совиньон 2021 красное сухое — АРАТТИ — Красное сухое</t>
        </is>
      </c>
      <c r="F20" t="inlineStr">
        <is>
          <t>aratti-kaberne-sovinon-2021-krasnoe-suhoe</t>
        </is>
      </c>
      <c r="G20" t="inlineStr">
        <is>
          <t>aratti-kaberne-sovinon-2020-krasnoe-suhoe</t>
        </is>
      </c>
      <c r="H20" t="inlineStr">
        <is>
          <t>aratti-kaberne-po-belomu-1</t>
        </is>
      </c>
      <c r="I20" t="inlineStr">
        <is>
          <t>aratti-kaberne-po-belomu</t>
        </is>
      </c>
      <c r="J20" t="inlineStr">
        <is>
          <t>aratti-sovinon-blan-beloe-polusuhoe</t>
        </is>
      </c>
      <c r="K20">
        <f>IF(C20="","",IFERROR(MATCH(C20,F20:J20,0),"нет"))</f>
        <v/>
      </c>
      <c r="L20">
        <f>IF(C20="","",IF(K20=1,1,0))</f>
        <v/>
      </c>
      <c r="M20">
        <f>IF(C20="","",IF(ISNUMBER(K20),1,0))</f>
        <v/>
      </c>
      <c r="N20" t="inlineStr">
        <is>
          <t>АРАТТИ Каберне Совиньон 2021 красное сухое — АРАТТИ — Красное сухое</t>
        </is>
      </c>
      <c r="O20" t="inlineStr">
        <is>
          <t>АРАТТИ Каберне Совиньон 2020 красное сухое — АРАТТИ — Красное сухое</t>
        </is>
      </c>
      <c r="P20" t="inlineStr">
        <is>
          <t>АРАТТИ Каберне по-белому — АРАТТИ — Розовое полусухое</t>
        </is>
      </c>
      <c r="Q20" t="inlineStr">
        <is>
          <t>АРАТТИ Каберне по-белому — АРАТТИ — Красное сухое</t>
        </is>
      </c>
      <c r="R20" t="inlineStr">
        <is>
          <t>АРАТТИ Совиньон блан белое полусухое — АРАТТИ — Белое полусухое</t>
        </is>
      </c>
      <c r="S20" s="3" t="n">
        <v>0.9999995231628418</v>
      </c>
      <c r="T20" s="3" t="n">
        <v>9.931189737244495e-08</v>
      </c>
      <c r="U20" t="n">
        <v>910.8</v>
      </c>
    </row>
    <row r="21">
      <c r="A21" t="inlineStr">
        <is>
          <t>91.43_02-09-2026_12-08-50.webp</t>
        </is>
      </c>
      <c r="B21" t="inlineStr">
        <is>
          <t>уверенно</t>
        </is>
      </c>
      <c r="C21" t="inlineStr">
        <is>
          <t>merlo-2</t>
        </is>
      </c>
      <c r="D21" t="inlineStr">
        <is>
          <t>Мерло — Литавщук. Litavshchuk vineyards &amp; winery — Красное сухое</t>
        </is>
      </c>
      <c r="F21" t="inlineStr">
        <is>
          <t>merlo-2</t>
        </is>
      </c>
      <c r="G21" t="inlineStr">
        <is>
          <t>vinodelnya-begildeeva-merlo-krasnoe-suhoe-14</t>
        </is>
      </c>
      <c r="H21" t="inlineStr">
        <is>
          <t>vinodelnya-begildeeva-kaberne-sovinon-merlo-krasnoe-suhoe-14</t>
        </is>
      </c>
      <c r="I21" t="inlineStr">
        <is>
          <t>merlo</t>
        </is>
      </c>
      <c r="J21" t="inlineStr">
        <is>
          <t>vinnyy-kooperativ-intuitsiya-kaberne-sovinon-merlo-saperavi-krasnoe-suhoe-128</t>
        </is>
      </c>
      <c r="K21">
        <f>IF(C21="","",IFERROR(MATCH(C21,F21:J21,0),"нет"))</f>
        <v/>
      </c>
      <c r="L21">
        <f>IF(C21="","",IF(K21=1,1,0))</f>
        <v/>
      </c>
      <c r="M21">
        <f>IF(C21="","",IF(ISNUMBER(K21),1,0))</f>
        <v/>
      </c>
      <c r="N21" t="inlineStr">
        <is>
          <t>Мерло — Литавщук. Litavshchuk vineyards &amp; winery — Красное сухое</t>
        </is>
      </c>
      <c r="O21" t="inlineStr">
        <is>
          <t>Мерло — Винодельня Бегильдеева — Красное сухое</t>
        </is>
      </c>
      <c r="P21" t="inlineStr">
        <is>
          <t>Каберне Совиньон – Мерло — Винодельня Бегильдеева — Красное сухое</t>
        </is>
      </c>
      <c r="Q21" t="inlineStr">
        <is>
          <t>Мерло — Галицкий и Галицкий — Красное сухое</t>
        </is>
      </c>
      <c r="R21" t="inlineStr">
        <is>
          <t>Каберне Совиньон - Мерло — Винный кооператив Интуиция — Красное сухое</t>
        </is>
      </c>
      <c r="S21" s="3" t="n">
        <v>0.9999998807907104</v>
      </c>
      <c r="T21" s="3" t="n">
        <v>7.734421103577915e-08</v>
      </c>
      <c r="U21" t="n">
        <v>1369.6</v>
      </c>
    </row>
    <row r="22">
      <c r="A22" t="inlineStr">
        <is>
          <t>92.21_19-08-2026_18-57-31.webp</t>
        </is>
      </c>
      <c r="B22" t="inlineStr">
        <is>
          <t>уверенно</t>
        </is>
      </c>
      <c r="C22" t="inlineStr">
        <is>
          <t>belaya-lvicza</t>
        </is>
      </c>
      <c r="D22" t="inlineStr">
        <is>
          <t>Белая Львица белое полусладкое — АРАТТИ — Белое полусладкое</t>
        </is>
      </c>
      <c r="F22" t="inlineStr">
        <is>
          <t>belaya-lvicza</t>
        </is>
      </c>
      <c r="G22" t="inlineStr">
        <is>
          <t>chernaya-lvicza-polusladkoe-krasnoe</t>
        </is>
      </c>
      <c r="H22" t="inlineStr">
        <is>
          <t>rozovaya-pantera</t>
        </is>
      </c>
      <c r="I22" t="inlineStr">
        <is>
          <t>aratti-muskat-belyj-suhoe</t>
        </is>
      </c>
      <c r="J22" t="inlineStr">
        <is>
          <t>aratti-muskat-belyj-polusuhoe</t>
        </is>
      </c>
      <c r="K22">
        <f>IF(C22="","",IFERROR(MATCH(C22,F22:J22,0),"нет"))</f>
        <v/>
      </c>
      <c r="L22">
        <f>IF(C22="","",IF(K22=1,1,0))</f>
        <v/>
      </c>
      <c r="M22">
        <f>IF(C22="","",IF(ISNUMBER(K22),1,0))</f>
        <v/>
      </c>
      <c r="N22" t="inlineStr">
        <is>
          <t>Белая Львица белое полусладкое — АРАТТИ — Белое полусладкое</t>
        </is>
      </c>
      <c r="O22" t="inlineStr">
        <is>
          <t>Черная Львица полусладкое красное — АРАТТИ — Красное полусладкое</t>
        </is>
      </c>
      <c r="P22" t="inlineStr">
        <is>
          <t>Розовая Пантера полусладкое розовое — АРАТТИ — Розовое полусладкое</t>
        </is>
      </c>
      <c r="Q22" t="inlineStr">
        <is>
          <t>АРАТТИ Мускат белый сухое — АРАТТИ — Белое сухое</t>
        </is>
      </c>
      <c r="R22" t="inlineStr">
        <is>
          <t>АРАТТИ Мускат белый полусухое — АРАТТИ — Белое полусухое</t>
        </is>
      </c>
      <c r="S22" s="3" t="n">
        <v>0.9999998807907104</v>
      </c>
      <c r="T22" s="3" t="n">
        <v>2.845334456935689e-08</v>
      </c>
      <c r="U22" t="n">
        <v>902.2</v>
      </c>
    </row>
    <row r="23">
      <c r="A23" t="inlineStr">
        <is>
          <t>92.6_07-09-2026_11-04-40.webp</t>
        </is>
      </c>
      <c r="B23" t="inlineStr">
        <is>
          <t>уверенно</t>
        </is>
      </c>
      <c r="C23" t="inlineStr">
        <is>
          <t>aratti-kaberne-sovinon-2020-krasnoe-suhoe</t>
        </is>
      </c>
      <c r="D23" t="inlineStr">
        <is>
          <t>АРАТТИ Каберне Совиньон 2020 красное сухое — АРАТТИ — Красное сухое</t>
        </is>
      </c>
      <c r="F23" t="inlineStr">
        <is>
          <t>aratti-kaberne-sovinon-2020-krasnoe-suhoe</t>
        </is>
      </c>
      <c r="G23" t="inlineStr">
        <is>
          <t>aratti-kaberne-sovinon-2021-krasnoe-suhoe</t>
        </is>
      </c>
      <c r="H23" t="inlineStr">
        <is>
          <t>artvin-kaberne-sovinon-grand-rezerv-krasnoe-suhoe-13</t>
        </is>
      </c>
      <c r="I23" t="inlineStr">
        <is>
          <t>vinodelnya-begildeeva-kaberne-sovinon-krasnoe-suhoe-14</t>
        </is>
      </c>
      <c r="J23" t="inlineStr">
        <is>
          <t>aratti-sovinon-blan-beloe-polusuhoe</t>
        </is>
      </c>
      <c r="K23">
        <f>IF(C23="","",IFERROR(MATCH(C23,F23:J23,0),"нет"))</f>
        <v/>
      </c>
      <c r="L23">
        <f>IF(C23="","",IF(K23=1,1,0))</f>
        <v/>
      </c>
      <c r="M23">
        <f>IF(C23="","",IF(ISNUMBER(K23),1,0))</f>
        <v/>
      </c>
      <c r="N23" t="inlineStr">
        <is>
          <t>АРАТТИ Каберне Совиньон 2020 красное сухое — АРАТТИ — Красное сухое</t>
        </is>
      </c>
      <c r="O23" t="inlineStr">
        <is>
          <t>АРАТТИ Каберне Совиньон 2021 красное сухое — АРАТТИ — Красное сухое</t>
        </is>
      </c>
      <c r="P23" t="inlineStr">
        <is>
          <t>Каберне Совиньон Гранд Резерв — Артвин — Красное сухое</t>
        </is>
      </c>
      <c r="Q23" t="inlineStr">
        <is>
          <t>Каберне Совиньон — Винодельня Бегильдеева — Красное сухое</t>
        </is>
      </c>
      <c r="R23" t="inlineStr">
        <is>
          <t>АРАТТИ Совиньон блан белое полусухое — АРАТТИ — Белое полусухое</t>
        </is>
      </c>
      <c r="S23" s="3" t="n">
        <v>0.9999996423721313</v>
      </c>
      <c r="T23" s="3" t="n">
        <v>4.69116265833236e-08</v>
      </c>
      <c r="U23" t="n">
        <v>877.6</v>
      </c>
    </row>
    <row r="24">
      <c r="A24" t="inlineStr">
        <is>
          <t>92.94_21-08-2026_19-37-08.webp</t>
        </is>
      </c>
      <c r="B24" t="inlineStr">
        <is>
          <t>не уверен</t>
        </is>
      </c>
      <c r="C24" t="inlineStr">
        <is>
          <t>denisov-winery-sovinon-blan-beloe-suhoe-115</t>
        </is>
      </c>
      <c r="D24" t="inlineStr">
        <is>
          <t>Совиньон Блан — Denisov Winery — Белое сухое</t>
        </is>
      </c>
      <c r="E24" t="inlineStr">
        <is>
          <t>есть такое, но этикетка черная, а не белая</t>
        </is>
      </c>
      <c r="F24" t="inlineStr">
        <is>
          <t>denisov-winery-sovinon-blan-beloe-suhoe-115</t>
        </is>
      </c>
      <c r="G24" t="inlineStr">
        <is>
          <t>dubinin-winery-sovinon-blan-beloe-suhoe-12</t>
        </is>
      </c>
      <c r="H24" t="inlineStr">
        <is>
          <t>zhemchuzhnaya-9-sovinon-blan-aligote</t>
        </is>
      </c>
      <c r="I24" t="inlineStr">
        <is>
          <t>sovinon-blan</t>
        </is>
      </c>
      <c r="J24" t="inlineStr">
        <is>
          <t>blagolyubov-sovinon-blan-beloe-suhoe-125</t>
        </is>
      </c>
      <c r="K24">
        <f>IF(C24="","",IFERROR(MATCH(C24,F24:J24,0),"нет"))</f>
        <v/>
      </c>
      <c r="L24">
        <f>IF(C24="","",IF(K24=1,1,0))</f>
        <v/>
      </c>
      <c r="M24">
        <f>IF(C24="","",IF(ISNUMBER(K24),1,0))</f>
        <v/>
      </c>
      <c r="N24" t="inlineStr">
        <is>
          <t>Совиньон Блан — Denisov Winery — Белое сухое</t>
        </is>
      </c>
      <c r="O24" t="inlineStr">
        <is>
          <t>Совиньон Блан — Dubinin Winery — Белое сухое</t>
        </is>
      </c>
      <c r="P24" t="inlineStr">
        <is>
          <t>Жемчужная 9 Совиньон блан, Алиготе — АРАТТИ — Белое сухое</t>
        </is>
      </c>
      <c r="Q24" t="inlineStr">
        <is>
          <t>Совиньон Блан — Литавщук. Litavshchuk vineyards &amp; winery — Белое полусладкое</t>
        </is>
      </c>
      <c r="R24" t="inlineStr">
        <is>
          <t>Совиньон Блан — Благолюбов — Белое сухое</t>
        </is>
      </c>
      <c r="S24" s="3" t="n">
        <v>0.9999997615814209</v>
      </c>
      <c r="T24" s="3" t="n">
        <v>1.275190300020768e-07</v>
      </c>
      <c r="U24" t="n">
        <v>1267.1</v>
      </c>
    </row>
    <row r="25">
      <c r="A25" t="inlineStr">
        <is>
          <t>92.96_19-08-2026_21-07-12.webp</t>
        </is>
      </c>
      <c r="B25" t="inlineStr">
        <is>
          <t>уверенно</t>
        </is>
      </c>
      <c r="C25" t="inlineStr">
        <is>
          <t>aratti-kaberne-sovinon-2020-krasnoe-suhoe</t>
        </is>
      </c>
      <c r="D25" t="inlineStr">
        <is>
          <t>АРАТТИ Каберне Совиньон 2020 красное сухое — АРАТТИ — Красное сухое</t>
        </is>
      </c>
      <c r="F25" t="inlineStr">
        <is>
          <t>aratti-kaberne-sovinon-2020-krasnoe-suhoe</t>
        </is>
      </c>
      <c r="G25" t="inlineStr">
        <is>
          <t>aratti-kaberne-sovinon-2021-krasnoe-suhoe</t>
        </is>
      </c>
      <c r="H25" t="inlineStr">
        <is>
          <t>artvin-kaberne-sovinon-grand-rezerv-krasnoe-suhoe-13</t>
        </is>
      </c>
      <c r="I25" t="inlineStr">
        <is>
          <t>vinodelnya-begildeeva-kaberne-sovinon-krasnoe-suhoe-14</t>
        </is>
      </c>
      <c r="J25" t="inlineStr">
        <is>
          <t>usadba-markoth-kaberne-sovinon-rezerv-krasnoe-suhoe-13</t>
        </is>
      </c>
      <c r="K25">
        <f>IF(C25="","",IFERROR(MATCH(C25,F25:J25,0),"нет"))</f>
        <v/>
      </c>
      <c r="L25">
        <f>IF(C25="","",IF(K25=1,1,0))</f>
        <v/>
      </c>
      <c r="M25">
        <f>IF(C25="","",IF(ISNUMBER(K25),1,0))</f>
        <v/>
      </c>
      <c r="N25" t="inlineStr">
        <is>
          <t>АРАТТИ Каберне Совиньон 2020 красное сухое — АРАТТИ — Красное сухое</t>
        </is>
      </c>
      <c r="O25" t="inlineStr">
        <is>
          <t>АРАТТИ Каберне Совиньон 2021 красное сухое — АРАТТИ — Красное сухое</t>
        </is>
      </c>
      <c r="P25" t="inlineStr">
        <is>
          <t>Каберне Совиньон Гранд Резерв — Артвин — Красное сухое</t>
        </is>
      </c>
      <c r="Q25" t="inlineStr">
        <is>
          <t>Каберне Совиньон — Винодельня Бегильдеева — Красное сухое</t>
        </is>
      </c>
      <c r="R25" t="inlineStr">
        <is>
          <t>Каберне Совиньон Резерв — Усадьба Маркотх — Красное сухое</t>
        </is>
      </c>
      <c r="S25" s="3" t="n">
        <v>0.9999997615814209</v>
      </c>
      <c r="T25" s="3" t="n">
        <v>6.825602127946695e-08</v>
      </c>
      <c r="U25" t="n">
        <v>1072.6</v>
      </c>
    </row>
    <row r="26">
      <c r="A26" t="inlineStr">
        <is>
          <t>92.99_02-09-2026_04-20-19.webp</t>
        </is>
      </c>
      <c r="B26" t="inlineStr">
        <is>
          <t>нет в каталоге</t>
        </is>
      </c>
      <c r="F26" t="inlineStr">
        <is>
          <t>kuban-vino-vysokiy-bereg-grafit-roze-kaberne-sovinon-rozovoe-suhoe-12</t>
        </is>
      </c>
      <c r="G26" t="inlineStr">
        <is>
          <t>usadba-divnomorskoe-rose-vione-rozovoe-suhoe-125</t>
        </is>
      </c>
      <c r="H26" t="inlineStr">
        <is>
          <t>mont-blanc-blanc-de-blancs</t>
        </is>
      </c>
      <c r="I26" t="inlineStr">
        <is>
          <t>vinodelnya-myshako-rose-de-noirs-pino-nuar-rozovoe-bryut-123</t>
        </is>
      </c>
      <c r="J26" t="inlineStr">
        <is>
          <t>rozovaya-pantera</t>
        </is>
      </c>
      <c r="K26">
        <f>IF(C26="","",IFERROR(MATCH(C26,F26:J26,0),"нет"))</f>
        <v/>
      </c>
      <c r="L26">
        <f>IF(C26="","",IF(K26=1,1,0))</f>
        <v/>
      </c>
      <c r="M26">
        <f>IF(C26="","",IF(ISNUMBER(K26),1,0))</f>
        <v/>
      </c>
      <c r="N26" t="inlineStr">
        <is>
          <t>Высокий Берег Графит Розе — Кубань-Вино — Розовое сухое</t>
        </is>
      </c>
      <c r="O26" t="inlineStr">
        <is>
          <t>Rose — Усадьба Дивноморское — Розовое сухое</t>
        </is>
      </c>
      <c r="P26" t="inlineStr">
        <is>
          <t>Mont Blanc, Blanc de Blancs — Шато АЛВИСА — Белое брют</t>
        </is>
      </c>
      <c r="Q26" t="inlineStr">
        <is>
          <t>Rose De Noirs — Мысхако — Розовое брют</t>
        </is>
      </c>
      <c r="R26" t="inlineStr">
        <is>
          <t>Розовая Пантера полусладкое розовое — АРАТТИ — Розовое полусладкое</t>
        </is>
      </c>
      <c r="S26" s="3" t="n">
        <v>0.1683539897203445</v>
      </c>
      <c r="T26" s="3" t="n">
        <v>0.7545101642608643</v>
      </c>
      <c r="U26" t="n">
        <v>1176.7</v>
      </c>
    </row>
    <row r="27">
      <c r="A27" t="inlineStr">
        <is>
          <t>93.31_05-09-2026_13-39-37.webp</t>
        </is>
      </c>
      <c r="B27" t="inlineStr">
        <is>
          <t>уверенно</t>
        </is>
      </c>
      <c r="C27" t="inlineStr">
        <is>
          <t>golubitskoe-estate-noble-selection-red-blend-kaberne-sovinon-krasnoe-suhoe-136</t>
        </is>
      </c>
      <c r="D27" t="inlineStr">
        <is>
          <t>Noble Selection Red Blend — Golubitskoe Estate — Красное сухое</t>
        </is>
      </c>
      <c r="F27" t="inlineStr">
        <is>
          <t>golubitskoe-estate-noble-selection-red-blend-kaberne-sovinon-krasnoe-suhoe-136</t>
        </is>
      </c>
      <c r="G27" t="inlineStr">
        <is>
          <t>golubitskoe-estate-kaberne-sovinon-noble-selection-krasnoe-suhoe-133</t>
        </is>
      </c>
      <c r="H27" t="inlineStr">
        <is>
          <t>golubitskoe-estate-noble-selection-white-blend-shardone-beloe-suhoe-135</t>
        </is>
      </c>
      <c r="I27" t="inlineStr">
        <is>
          <t>golubitskoe-estate-red-blend-kaberne-sovinon-krasnoe-suhoe-136</t>
        </is>
      </c>
      <c r="J27" t="inlineStr">
        <is>
          <t>golubitskoe-estate-kaberne-sovinon-rezerv-krasnoe-suhoe-125</t>
        </is>
      </c>
      <c r="K27">
        <f>IF(C27="","",IFERROR(MATCH(C27,F27:J27,0),"нет"))</f>
        <v/>
      </c>
      <c r="L27">
        <f>IF(C27="","",IF(K27=1,1,0))</f>
        <v/>
      </c>
      <c r="M27">
        <f>IF(C27="","",IF(ISNUMBER(K27),1,0))</f>
        <v/>
      </c>
      <c r="N27" t="inlineStr">
        <is>
          <t>Noble Selection Red Blend — Golubitskoe Estate — Красное сухое</t>
        </is>
      </c>
      <c r="O27" t="inlineStr">
        <is>
          <t>Каберне Совиньон Noble Selection — Golubitskoe Estate — Красное сухое</t>
        </is>
      </c>
      <c r="P27" t="inlineStr">
        <is>
          <t>Noble Selection White Blend — Golubitskoe Estate — Белое сухое</t>
        </is>
      </c>
      <c r="Q27" t="inlineStr">
        <is>
          <t>Red Blend — Golubitskoe Estate — Красное сухое</t>
        </is>
      </c>
      <c r="R27" t="inlineStr">
        <is>
          <t>Каберне Совиньон Резерв — Golubitskoe Estate — Красное сухое</t>
        </is>
      </c>
      <c r="S27" s="3" t="n">
        <v>0.9999996423721313</v>
      </c>
      <c r="T27" s="3" t="n">
        <v>2.699577521525498e-07</v>
      </c>
      <c r="U27" t="n">
        <v>1020.8</v>
      </c>
    </row>
    <row r="28">
      <c r="A28" t="inlineStr">
        <is>
          <t>93.43_05-09-2026_13-34-45.webp</t>
        </is>
      </c>
      <c r="B28" t="inlineStr">
        <is>
          <t>уверенно</t>
        </is>
      </c>
      <c r="C28" t="inlineStr">
        <is>
          <t>denisov_pet_nat_rubin</t>
        </is>
      </c>
      <c r="D28" t="inlineStr">
        <is>
          <t>Пет-Нат Рубин — Denisov Winery — Розовое экстра брют</t>
        </is>
      </c>
      <c r="F28" t="inlineStr">
        <is>
          <t>denisov_pet_nat_rubin</t>
        </is>
      </c>
      <c r="G28" t="inlineStr">
        <is>
          <t>denisov-winery-petnat-risling-beloe-ekstra-bryut-10</t>
        </is>
      </c>
      <c r="H28" t="inlineStr">
        <is>
          <t>denisov-winery-petnat-tsitron-risling-tsitronnyy-magaracha-beloe-ekstra-bryut-102</t>
        </is>
      </c>
      <c r="I28" t="inlineStr">
        <is>
          <t>fioletovyj-rannij-petnat</t>
        </is>
      </c>
      <c r="J28" t="inlineStr">
        <is>
          <t>denisov-winery-petnat-rkatsiteli-beloe-ekstra-bryut-107</t>
        </is>
      </c>
      <c r="K28">
        <f>IF(C28="","",IFERROR(MATCH(C28,F28:J28,0),"нет"))</f>
        <v/>
      </c>
      <c r="L28">
        <f>IF(C28="","",IF(K28=1,1,0))</f>
        <v/>
      </c>
      <c r="M28">
        <f>IF(C28="","",IF(ISNUMBER(K28),1,0))</f>
        <v/>
      </c>
      <c r="N28" t="inlineStr">
        <is>
          <t>Пет-Нат Рубин — Denisov Winery — Розовое экстра брют</t>
        </is>
      </c>
      <c r="O28" t="inlineStr">
        <is>
          <t>Петнат Рислинг — Denisov Winery — Белое экстра брют</t>
        </is>
      </c>
      <c r="P28" t="inlineStr">
        <is>
          <t>Петнат Цитрон - Рислинг — Denisov Winery — Белое экстра брют</t>
        </is>
      </c>
      <c r="Q28" t="inlineStr">
        <is>
          <t>Фиолетовый Ранний петнат — Гусевъ — Белое экстра брют</t>
        </is>
      </c>
      <c r="R28" t="inlineStr">
        <is>
          <t>Петнат Ркацители — Denisov Winery — Белое экстра брют</t>
        </is>
      </c>
      <c r="S28" s="3" t="n">
        <v>1</v>
      </c>
      <c r="T28" s="3" t="n">
        <v>7.194133289090132e-09</v>
      </c>
      <c r="U28" t="n">
        <v>1025.8</v>
      </c>
    </row>
    <row r="29">
      <c r="A29" t="inlineStr">
        <is>
          <t>93.68_19-08-2026_20-44-28.webp</t>
        </is>
      </c>
      <c r="B29" t="inlineStr">
        <is>
          <t>уверенно</t>
        </is>
      </c>
      <c r="C29" t="inlineStr">
        <is>
          <t>zakat-denisov-vajneri</t>
        </is>
      </c>
      <c r="D29" t="inlineStr">
        <is>
          <t>Закат. Денисов Вайнери — Denisov Winery — Розовое сухое</t>
        </is>
      </c>
      <c r="F29" t="inlineStr">
        <is>
          <t>zakat-denisov-vajneri</t>
        </is>
      </c>
      <c r="G29" t="inlineStr">
        <is>
          <t>znoj-denisov-vajneri</t>
        </is>
      </c>
      <c r="H29" t="inlineStr">
        <is>
          <t>zhemchuzhnaya-9-pino-nuar-muskat-rozovyj</t>
        </is>
      </c>
      <c r="I29" t="inlineStr">
        <is>
          <t>rozovaya-pantera</t>
        </is>
      </c>
      <c r="J29" t="inlineStr">
        <is>
          <t>vinodelnya-78-muskat-polusladkoe-muskat-ottonel-beloe-115</t>
        </is>
      </c>
      <c r="K29">
        <f>IF(C29="","",IFERROR(MATCH(C29,F29:J29,0),"нет"))</f>
        <v/>
      </c>
      <c r="L29">
        <f>IF(C29="","",IF(K29=1,1,0))</f>
        <v/>
      </c>
      <c r="M29">
        <f>IF(C29="","",IF(ISNUMBER(K29),1,0))</f>
        <v/>
      </c>
      <c r="N29" t="inlineStr">
        <is>
          <t>Закат. Денисов Вайнери — Denisov Winery — Розовое сухое</t>
        </is>
      </c>
      <c r="O29" t="inlineStr">
        <is>
          <t>Зной. Денисов Вайнери — Denisov Winery — Белое сухое</t>
        </is>
      </c>
      <c r="P29" t="inlineStr">
        <is>
          <t>Жемчужная 9 Пино Нуар, Мускат Розовый — АРАТТИ — Розовое сухое</t>
        </is>
      </c>
      <c r="Q29" t="inlineStr">
        <is>
          <t>Розовая Пантера полусладкое розовое — АРАТТИ — Розовое полусладкое</t>
        </is>
      </c>
      <c r="R29" t="inlineStr">
        <is>
          <t>Мускат полусладкое — Винодельня 78 — Белое полусладкое</t>
        </is>
      </c>
      <c r="S29" s="3" t="n">
        <v>0.9999996423721313</v>
      </c>
      <c r="T29" s="3" t="n">
        <v>1.855390792115941e-07</v>
      </c>
      <c r="U29" t="n">
        <v>996</v>
      </c>
    </row>
    <row r="30">
      <c r="A30" t="inlineStr">
        <is>
          <t>93.84_02-09-2026_17-13-04.webp</t>
        </is>
      </c>
      <c r="B30" t="inlineStr">
        <is>
          <t>уверенно</t>
        </is>
      </c>
      <c r="C30" t="inlineStr">
        <is>
          <t>zakat-denisov-vajneri</t>
        </is>
      </c>
      <c r="D30" t="inlineStr">
        <is>
          <t>Закат. Денисов Вайнери — Denisov Winery — Розовое сухое</t>
        </is>
      </c>
      <c r="F30" t="inlineStr">
        <is>
          <t>zakat-denisov-vajneri</t>
        </is>
      </c>
      <c r="G30" t="inlineStr">
        <is>
          <t>vinodelnya-78-muskat-polusladkoe-muskat-ottonel-beloe-115</t>
        </is>
      </c>
      <c r="H30" t="inlineStr">
        <is>
          <t>rozovaya-pantera</t>
        </is>
      </c>
      <c r="I30" t="inlineStr">
        <is>
          <t>zhemchuzhnaya-9-pino-nuar-muskat-rozovyj</t>
        </is>
      </c>
      <c r="J30" t="inlineStr">
        <is>
          <t>vinodelnya-vedernikov-tsimlyanskiy-chernyy-rozovyy-rozovoe-suhoe-125</t>
        </is>
      </c>
      <c r="K30">
        <f>IF(C30="","",IFERROR(MATCH(C30,F30:J30,0),"нет"))</f>
        <v/>
      </c>
      <c r="L30">
        <f>IF(C30="","",IF(K30=1,1,0))</f>
        <v/>
      </c>
      <c r="M30">
        <f>IF(C30="","",IF(ISNUMBER(K30),1,0))</f>
        <v/>
      </c>
      <c r="N30" t="inlineStr">
        <is>
          <t>Закат. Денисов Вайнери — Denisov Winery — Розовое сухое</t>
        </is>
      </c>
      <c r="O30" t="inlineStr">
        <is>
          <t>Мускат полусладкое — Винодельня 78 — Белое полусладкое</t>
        </is>
      </c>
      <c r="P30" t="inlineStr">
        <is>
          <t>Розовая Пантера полусладкое розовое — АРАТТИ — Розовое полусладкое</t>
        </is>
      </c>
      <c r="Q30" t="inlineStr">
        <is>
          <t>Жемчужная 9 Пино Нуар, Мускат Розовый — АРАТТИ — Розовое сухое</t>
        </is>
      </c>
      <c r="R30" t="inlineStr">
        <is>
          <t>Цимлянский Черный розовый — Ведерниковъ — Розовое сухое</t>
        </is>
      </c>
      <c r="S30" s="3" t="n">
        <v>1</v>
      </c>
      <c r="T30" s="3" t="n">
        <v>3.224186784223093e-08</v>
      </c>
      <c r="U30" t="n">
        <v>876.1</v>
      </c>
    </row>
    <row r="31">
      <c r="A31" t="inlineStr">
        <is>
          <t>93.95_05-09-2026_15-29-36.webp</t>
        </is>
      </c>
      <c r="B31" t="inlineStr">
        <is>
          <t>нет в каталоге</t>
        </is>
      </c>
      <c r="F31" t="inlineStr">
        <is>
          <t>fanagoriya-alveus-ultra-cuvee-ekstra-bryut-rozovoe-merlo-12</t>
        </is>
      </c>
      <c r="G31" t="inlineStr">
        <is>
          <t>abrau-dyurso-imperial-kyuve-pino-nuar-rozovoe-bryut-125</t>
        </is>
      </c>
      <c r="H31" t="inlineStr">
        <is>
          <t>fanagoriya-alveus-ultra-cuvee-brut-shardone-beloe-bryut-12</t>
        </is>
      </c>
      <c r="I31" t="inlineStr">
        <is>
          <t>novyy-svet-dom-shampanskih-vin-igristoe-vino-vyderzhannoe-polusladkoe-rozovoe-novyy-svet-pino-fran-135</t>
        </is>
      </c>
      <c r="J31" t="inlineStr">
        <is>
          <t>fanagoriya-alveus-ultra-cuvee-ekstra-bryut-beloe-risling-reynskiy-12</t>
        </is>
      </c>
      <c r="K31">
        <f>IF(C31="","",IFERROR(MATCH(C31,F31:J31,0),"нет"))</f>
        <v/>
      </c>
      <c r="L31">
        <f>IF(C31="","",IF(K31=1,1,0))</f>
        <v/>
      </c>
      <c r="M31">
        <f>IF(C31="","",IF(ISNUMBER(K31),1,0))</f>
        <v/>
      </c>
      <c r="N31" t="inlineStr">
        <is>
          <t>Alveus Ultra Cuvee. Экстра брют розовое — Фанагория — Розовое экстра брют</t>
        </is>
      </c>
      <c r="O31" t="inlineStr">
        <is>
          <t>Империал Кюве — Абрау-Дюрсо — Розовое брют</t>
        </is>
      </c>
      <c r="P31" t="inlineStr">
        <is>
          <t>Alveus Ultra Cuvee Brut — Фанагория — Белое брют</t>
        </is>
      </c>
      <c r="Q31" t="inlineStr">
        <is>
          <t>Игристое вино выдержанное полусладкое розовое «Новый Свет. Пино Фран» — Новый Свет. Дом шампанских вин — Розовое полусладкое</t>
        </is>
      </c>
      <c r="R31" t="inlineStr">
        <is>
          <t>Alveus Ultra Cuvee. Экстра брют белое — Фанагория — Белое экстра брют</t>
        </is>
      </c>
      <c r="S31" s="3" t="n">
        <v>0.9026777744293213</v>
      </c>
      <c r="T31" s="3" t="n">
        <v>0.09514153748750687</v>
      </c>
      <c r="U31" t="n">
        <v>1543.8</v>
      </c>
    </row>
    <row r="32">
      <c r="A32" t="inlineStr">
        <is>
          <t>93.97_28-08-2026_16-02-48.webp</t>
        </is>
      </c>
      <c r="B32" t="inlineStr">
        <is>
          <t>нет в каталоге</t>
        </is>
      </c>
      <c r="F32" t="inlineStr">
        <is>
          <t>golubitskoe-estate-chardonnay</t>
        </is>
      </c>
      <c r="G32" t="inlineStr">
        <is>
          <t>golubitskoe-estate-shardone-rezerv-beloe-suhoe-135</t>
        </is>
      </c>
      <c r="H32" t="inlineStr">
        <is>
          <t>golubitskoe-estate-sovinon-blan-beloe-suhoe-11</t>
        </is>
      </c>
      <c r="I32" t="inlineStr">
        <is>
          <t>golubitskoe-estate-shardone-noble-selection-barrel-touch-beloe-suhoe-135</t>
        </is>
      </c>
      <c r="J32" t="inlineStr">
        <is>
          <t>pomeste-golubitskoe-shardone-rezerv-beloe-suhoe-132</t>
        </is>
      </c>
      <c r="K32">
        <f>IF(C32="","",IFERROR(MATCH(C32,F32:J32,0),"нет"))</f>
        <v/>
      </c>
      <c r="L32">
        <f>IF(C32="","",IF(K32=1,1,0))</f>
        <v/>
      </c>
      <c r="M32">
        <f>IF(C32="","",IF(ISNUMBER(K32),1,0))</f>
        <v/>
      </c>
      <c r="N32" t="inlineStr">
        <is>
          <t>Golubitskoe Estate Chardonnay — Поместье Голубицкое — Белое сухое</t>
        </is>
      </c>
      <c r="O32" t="inlineStr">
        <is>
          <t>Шардоне Резерв — Golubitskoe Estate — Белое сухое</t>
        </is>
      </c>
      <c r="P32" t="inlineStr">
        <is>
          <t>Совиньон Блан — Golubitskoe Estate — Белое сухое</t>
        </is>
      </c>
      <c r="Q32" t="inlineStr">
        <is>
          <t>Шардоне Noble Selection Barrel Touch — Golubitskoe Estate — Белое сухое</t>
        </is>
      </c>
      <c r="R32" t="inlineStr">
        <is>
          <t>Шардоне Резерв — Golubitskoe Estate — Белое сухое</t>
        </is>
      </c>
      <c r="S32" s="3" t="n">
        <v>0.9999988079071045</v>
      </c>
      <c r="T32" s="3" t="n">
        <v>3.466323335032939e-07</v>
      </c>
      <c r="U32" t="n">
        <v>1141.4</v>
      </c>
    </row>
    <row r="33">
      <c r="A33" t="inlineStr">
        <is>
          <t>94.02_24-08-2026_17-46-57.webp</t>
        </is>
      </c>
      <c r="B33" t="inlineStr">
        <is>
          <t>уверенно</t>
        </is>
      </c>
      <c r="C33" t="inlineStr">
        <is>
          <t>rubin-golodrigi</t>
        </is>
      </c>
      <c r="D33" t="inlineStr">
        <is>
          <t>Рубин Голодриги  — Табия — Красное сухое</t>
        </is>
      </c>
      <c r="F33" t="inlineStr">
        <is>
          <t>rubin-golodrigi</t>
        </is>
      </c>
      <c r="G33" t="inlineStr">
        <is>
          <t>kaberne-sovinon-2</t>
        </is>
      </c>
      <c r="H33" t="inlineStr">
        <is>
          <t>bukovinka</t>
        </is>
      </c>
      <c r="I33" t="inlineStr">
        <is>
          <t>pobeda</t>
        </is>
      </c>
      <c r="J33" t="inlineStr">
        <is>
          <t>roze-2</t>
        </is>
      </c>
      <c r="K33">
        <f>IF(C33="","",IFERROR(MATCH(C33,F33:J33,0),"нет"))</f>
        <v/>
      </c>
      <c r="L33">
        <f>IF(C33="","",IF(K33=1,1,0))</f>
        <v/>
      </c>
      <c r="M33">
        <f>IF(C33="","",IF(ISNUMBER(K33),1,0))</f>
        <v/>
      </c>
      <c r="N33" t="inlineStr">
        <is>
          <t>Рубин Голодриги  — Табия — Красное сухое</t>
        </is>
      </c>
      <c r="O33" t="inlineStr">
        <is>
          <t>Каберне Совиньон — Табия — Красное сухое</t>
        </is>
      </c>
      <c r="P33" t="inlineStr">
        <is>
          <t>Буковинка — Табия — Белое полусухое</t>
        </is>
      </c>
      <c r="Q33" t="inlineStr">
        <is>
          <t>Победа — Табия — Красное сухое</t>
        </is>
      </c>
      <c r="R33" t="inlineStr">
        <is>
          <t>Розе — Табия — Розовое сухое</t>
        </is>
      </c>
      <c r="S33" s="3" t="n">
        <v>0.9999998807907104</v>
      </c>
      <c r="T33" s="3" t="n">
        <v>3.653481783771895e-08</v>
      </c>
      <c r="U33" t="n">
        <v>749.2</v>
      </c>
    </row>
    <row r="34">
      <c r="A34" t="inlineStr">
        <is>
          <t>94.43_05-09-2026_15-29-25.webp</t>
        </is>
      </c>
      <c r="B34" t="inlineStr">
        <is>
          <t>нет в каталоге</t>
        </is>
      </c>
      <c r="F34" t="inlineStr">
        <is>
          <t>rozovoe-bryut-1</t>
        </is>
      </c>
      <c r="G34" t="inlineStr">
        <is>
          <t>novyy-svet-dom-shampanskih-vin-igristoe-vino-vyderzhannoe-polusladkoe-rozovoe-novyy-svet-pino-fran-135</t>
        </is>
      </c>
      <c r="H34" t="inlineStr">
        <is>
          <t>fanagoriya-alveus-ultra-cuvee-brut-shardone-beloe-bryut-12</t>
        </is>
      </c>
      <c r="I34" t="inlineStr">
        <is>
          <t>vinodelnya-78-muskat-polusladkoe-muskat-ottonel-beloe-115</t>
        </is>
      </c>
      <c r="J34" t="inlineStr">
        <is>
          <t>balaklava-bryut-rezerv</t>
        </is>
      </c>
      <c r="K34">
        <f>IF(C34="","",IFERROR(MATCH(C34,F34:J34,0),"нет"))</f>
        <v/>
      </c>
      <c r="L34">
        <f>IF(C34="","",IF(K34=1,1,0))</f>
        <v/>
      </c>
      <c r="M34">
        <f>IF(C34="","",IF(ISNUMBER(K34),1,0))</f>
        <v/>
      </c>
      <c r="N34" t="inlineStr">
        <is>
          <t>Розовое брют — Золотая Балка — Розовое брют</t>
        </is>
      </c>
      <c r="O34" t="inlineStr">
        <is>
          <t>Игристое вино выдержанное полусладкое розовое «Новый Свет. Пино Фран» — Новый Свет. Дом шампанских вин — Розовое полусладкое</t>
        </is>
      </c>
      <c r="P34" t="inlineStr">
        <is>
          <t>Alveus Ultra Cuvee Brut — Фанагория — Белое брют</t>
        </is>
      </c>
      <c r="Q34" t="inlineStr">
        <is>
          <t>Мускат полусладкое — Винодельня 78 — Белое полусладкое</t>
        </is>
      </c>
      <c r="R34" t="inlineStr">
        <is>
          <t>Балаклава Брют Резерв — Золотая Балка — Белое брют</t>
        </is>
      </c>
      <c r="S34" s="3" t="n">
        <v>0.9998574256896973</v>
      </c>
      <c r="T34" s="3" t="n">
        <v>9.609795233700424e-05</v>
      </c>
      <c r="U34" t="n">
        <v>1390.6</v>
      </c>
    </row>
    <row r="35">
      <c r="A35" t="inlineStr">
        <is>
          <t>94.55_02-09-2026_16-53-08.webp</t>
        </is>
      </c>
      <c r="B35" t="inlineStr">
        <is>
          <t>уверенно</t>
        </is>
      </c>
      <c r="C35" t="inlineStr">
        <is>
          <t>denisov_pazori_risling</t>
        </is>
      </c>
      <c r="D35" t="inlineStr">
        <is>
          <t>Пазори Рислинг — Denisov Winery — Белое брют</t>
        </is>
      </c>
      <c r="F35" t="inlineStr">
        <is>
          <t>denisov_pazori_risling</t>
        </is>
      </c>
      <c r="G35" t="inlineStr">
        <is>
          <t>denisov-winery-pino-nuar-shardone-ekstra-bryut-beloe-125</t>
        </is>
      </c>
      <c r="H35" t="inlineStr">
        <is>
          <t>znoj-denisov-vajneri</t>
        </is>
      </c>
      <c r="I35" t="inlineStr">
        <is>
          <t>vinodelnya-zhakov-saperavi-vyderzhannoe-krasnoe-suhoe-115</t>
        </is>
      </c>
      <c r="J35" t="inlineStr">
        <is>
          <t>vinodelnya-uzunov-nrav-krasnostop-zolotovskiy-krasnoe-suhoe-132</t>
        </is>
      </c>
      <c r="K35">
        <f>IF(C35="","",IFERROR(MATCH(C35,F35:J35,0),"нет"))</f>
        <v/>
      </c>
      <c r="L35">
        <f>IF(C35="","",IF(K35=1,1,0))</f>
        <v/>
      </c>
      <c r="M35">
        <f>IF(C35="","",IF(ISNUMBER(K35),1,0))</f>
        <v/>
      </c>
      <c r="N35" t="inlineStr">
        <is>
          <t>Пазори Рислинг — Denisov Winery — Белое брют</t>
        </is>
      </c>
      <c r="O35" t="inlineStr">
        <is>
          <t>Пино Нуар - Шардоне экстра брют — Denisov Winery — Белое экстра брют</t>
        </is>
      </c>
      <c r="P35" t="inlineStr">
        <is>
          <t>Зной. Денисов Вайнери — Denisov Winery — Белое сухое</t>
        </is>
      </c>
      <c r="Q35" t="inlineStr">
        <is>
          <t>Саперави выдержанное — Винодельня Жаков — Красное сухое</t>
        </is>
      </c>
      <c r="R35" t="inlineStr">
        <is>
          <t>Нрав — Винодельня Узунов — Красное сухое</t>
        </is>
      </c>
      <c r="S35" s="3" t="n">
        <v>0.9999603033065796</v>
      </c>
      <c r="T35" s="3" t="n">
        <v>1.892475484055467e-05</v>
      </c>
      <c r="U35" t="n">
        <v>1461.5</v>
      </c>
    </row>
    <row r="36">
      <c r="A36" t="inlineStr">
        <is>
          <t>94.72_21-08-2026_15-41-48.webp</t>
        </is>
      </c>
      <c r="B36" t="inlineStr">
        <is>
          <t>не уверен</t>
        </is>
      </c>
      <c r="C36" t="inlineStr">
        <is>
          <t>derbent-vino-desono-kaberne-sovinon-krasnoe-suhoe-125</t>
        </is>
      </c>
      <c r="D36" t="inlineStr">
        <is>
          <t>Дэсоно Каберне Совиньон — Дербент Вино — Красное сухое</t>
        </is>
      </c>
      <c r="E36" t="inlineStr">
        <is>
          <t>есть такое, но надпись внизу несоответствует, она больше. но фактически одно и то же</t>
        </is>
      </c>
      <c r="F36" t="inlineStr">
        <is>
          <t>derbent-vino-desono-kaberne-sovinon-krasnoe-suhoe-125</t>
        </is>
      </c>
      <c r="G36" t="inlineStr">
        <is>
          <t>derbent-vino-desono-merlo-krasnoe-suhoe-125</t>
        </is>
      </c>
      <c r="H36" t="inlineStr">
        <is>
          <t>derbent-vino-desono-kaberne-fran-krasnoe-suhoe-125</t>
        </is>
      </c>
      <c r="I36" t="inlineStr">
        <is>
          <t>derbent-vino-desono-risling-beloe-suhoe-125</t>
        </is>
      </c>
      <c r="J36" t="inlineStr">
        <is>
          <t>derbent-vino-desono-shardone-beloe-suhoe-125</t>
        </is>
      </c>
      <c r="K36">
        <f>IF(C36="","",IFERROR(MATCH(C36,F36:J36,0),"нет"))</f>
        <v/>
      </c>
      <c r="L36">
        <f>IF(C36="","",IF(K36=1,1,0))</f>
        <v/>
      </c>
      <c r="M36">
        <f>IF(C36="","",IF(ISNUMBER(K36),1,0))</f>
        <v/>
      </c>
      <c r="N36" t="inlineStr">
        <is>
          <t>Дэсоно Каберне Совиньон — Дербент Вино — Красное сухое</t>
        </is>
      </c>
      <c r="O36" t="inlineStr">
        <is>
          <t>Дэсоно Мерло — Дербент Вино — Красное сухое</t>
        </is>
      </c>
      <c r="P36" t="inlineStr">
        <is>
          <t>Дэсоно Каберне Фран — Дербент Вино — Красное сухое</t>
        </is>
      </c>
      <c r="Q36" t="inlineStr">
        <is>
          <t>Дэсоно Рислинг — Дербент Вино — Белое сухое</t>
        </is>
      </c>
      <c r="R36" t="inlineStr">
        <is>
          <t>Дэсоно Шардоне — Дербент Вино — Белое сухое</t>
        </is>
      </c>
      <c r="S36" s="3" t="n">
        <v>0.9999996423721313</v>
      </c>
      <c r="T36" s="3" t="n">
        <v>1.444979744746888e-07</v>
      </c>
      <c r="U36" t="n">
        <v>1043.5</v>
      </c>
    </row>
    <row r="37">
      <c r="A37" t="inlineStr">
        <is>
          <t>94.7_25-08-2026_15-52-07.webp</t>
        </is>
      </c>
      <c r="B37" t="inlineStr">
        <is>
          <t>уверенно</t>
        </is>
      </c>
      <c r="C37" t="inlineStr">
        <is>
          <t>czitronnyj-magaracha-sovinon-blan</t>
        </is>
      </c>
      <c r="D37" t="inlineStr">
        <is>
          <t>Жемчужная 9 Цитрон, Совиньон блан — АРАТТИ — Белое полусухое</t>
        </is>
      </c>
      <c r="F37" t="inlineStr">
        <is>
          <t>czitronnyj-magaracha-sovinon-blan</t>
        </is>
      </c>
      <c r="G37" t="inlineStr">
        <is>
          <t>zhemchuzhnaya-9-czitron-shardone-1</t>
        </is>
      </c>
      <c r="H37" t="inlineStr">
        <is>
          <t>zhemchuzhnaya-9-aligote-czitron</t>
        </is>
      </c>
      <c r="I37" t="inlineStr">
        <is>
          <t>zhemchuzhnaya-9-czitron-shardone</t>
        </is>
      </c>
      <c r="J37" t="inlineStr">
        <is>
          <t>zhemchuzhnaya-9-risling-sovinon-blan</t>
        </is>
      </c>
      <c r="K37">
        <f>IF(C37="","",IFERROR(MATCH(C37,F37:J37,0),"нет"))</f>
        <v/>
      </c>
      <c r="L37">
        <f>IF(C37="","",IF(K37=1,1,0))</f>
        <v/>
      </c>
      <c r="M37">
        <f>IF(C37="","",IF(ISNUMBER(K37),1,0))</f>
        <v/>
      </c>
      <c r="N37" t="inlineStr">
        <is>
          <t>Жемчужная 9 Цитрон, Совиньон блан — АРАТТИ — Белое полусухое</t>
        </is>
      </c>
      <c r="O37" t="inlineStr">
        <is>
          <t>Жемчужная 9 Цитрон, Шардоне — АРАТТИ — Белое полусладкое</t>
        </is>
      </c>
      <c r="P37" t="inlineStr">
        <is>
          <t>Жемчужная 9 Алиготе, Цитрон — АРАТТИ — Белое сухое</t>
        </is>
      </c>
      <c r="Q37" t="inlineStr">
        <is>
          <t>Жемчужная 9 Цитрон, Шардоне — АРАТТИ — Белое сухое</t>
        </is>
      </c>
      <c r="R37" t="inlineStr">
        <is>
          <t>Жемчужная 9 Рислинг,Совиньон блан — АРАТТИ — Белое полусухое</t>
        </is>
      </c>
      <c r="S37" s="3" t="n">
        <v>0.9999998807907104</v>
      </c>
      <c r="T37" s="3" t="n">
        <v>3.224186428951725e-08</v>
      </c>
      <c r="U37" t="n">
        <v>887.1</v>
      </c>
    </row>
    <row r="38">
      <c r="A38" t="inlineStr">
        <is>
          <t>94.83_27-08-2026_14-29-28.webp</t>
        </is>
      </c>
      <c r="B38" t="inlineStr">
        <is>
          <t>нет в каталоге</t>
        </is>
      </c>
      <c r="F38" t="inlineStr">
        <is>
          <t>shato-pino-sovinon-blan-semilon-beloe-suhoe-115</t>
        </is>
      </c>
      <c r="G38" t="inlineStr">
        <is>
          <t>shato-pino-aligote-rkatsiteli-beloe-suhoe-12</t>
        </is>
      </c>
      <c r="H38" t="inlineStr">
        <is>
          <t>shato-pino-gravitatsiya-kaberne-sovinon-merlo-krasnoe-suhoe-135</t>
        </is>
      </c>
      <c r="I38" t="inlineStr">
        <is>
          <t>shato-pino-marselan-merlo-krasnoe-suhoe-13</t>
        </is>
      </c>
      <c r="J38" t="inlineStr">
        <is>
          <t>shato-pino-shardone-beloe-suhoe-125</t>
        </is>
      </c>
      <c r="K38">
        <f>IF(C38="","",IFERROR(MATCH(C38,F38:J38,0),"нет"))</f>
        <v/>
      </c>
      <c r="L38">
        <f>IF(C38="","",IF(K38=1,1,0))</f>
        <v/>
      </c>
      <c r="M38">
        <f>IF(C38="","",IF(ISNUMBER(K38),1,0))</f>
        <v/>
      </c>
      <c r="N38" t="inlineStr">
        <is>
          <t>Совиньон Блан - Семильон — Шато Пино — Белое сухое</t>
        </is>
      </c>
      <c r="O38" t="inlineStr">
        <is>
          <t>Алиготе - Ркацители белое сухое — Шато Пино — Белое сухое</t>
        </is>
      </c>
      <c r="P38" t="inlineStr">
        <is>
          <t>Гравитация. Каберне Совиньон - Мерло — Шато Пино — Красное сухое</t>
        </is>
      </c>
      <c r="Q38" t="inlineStr">
        <is>
          <t>Марселан - Мерло — Шато Пино — Красное сухое</t>
        </is>
      </c>
      <c r="R38" t="inlineStr">
        <is>
          <t>Шардоне — Шато Пино — Белое сухое</t>
        </is>
      </c>
      <c r="S38" s="3" t="n">
        <v>0.7790169715881348</v>
      </c>
      <c r="T38" s="3" t="n">
        <v>0.06394560635089874</v>
      </c>
      <c r="U38" t="n">
        <v>973.6</v>
      </c>
    </row>
    <row r="39">
      <c r="A39" t="inlineStr">
        <is>
          <t>94.8_01-09-2026_10-10-02.webp</t>
        </is>
      </c>
      <c r="B39" t="inlineStr">
        <is>
          <t>нет в каталоге</t>
        </is>
      </c>
      <c r="F39" t="inlineStr">
        <is>
          <t>soyuz-vino-mosavali-saperavi-polusladkoe-krasnoe-11</t>
        </is>
      </c>
      <c r="G39" t="inlineStr">
        <is>
          <t>massandra-portveyn-krasnyy-alushta-krasnye-sorta-vinograda-krasnoe-sladkoe-17</t>
        </is>
      </c>
      <c r="H39" t="inlineStr">
        <is>
          <t>massandra-portveyn-krasnyy-livadiya-kaberne-sovinon-krasnoe-sladkoe-185</t>
        </is>
      </c>
      <c r="I39" t="inlineStr">
        <is>
          <t>kaberne-sovinon</t>
        </is>
      </c>
      <c r="J39" t="inlineStr">
        <is>
          <t>perovskih_polusladkoe_krasnoe</t>
        </is>
      </c>
      <c r="K39">
        <f>IF(C39="","",IFERROR(MATCH(C39,F39:J39,0),"нет"))</f>
        <v/>
      </c>
      <c r="L39">
        <f>IF(C39="","",IF(K39=1,1,0))</f>
        <v/>
      </c>
      <c r="M39">
        <f>IF(C39="","",IF(ISNUMBER(K39),1,0))</f>
        <v/>
      </c>
      <c r="N39" t="inlineStr">
        <is>
          <t>Мосавали Саперави Полусладкое — Союз-Вино — Красное полусладкое</t>
        </is>
      </c>
      <c r="O39" t="inlineStr">
        <is>
          <t>Портвейн красный Алушта — Массандра — Красное сладкое</t>
        </is>
      </c>
      <c r="P39" t="inlineStr">
        <is>
          <t>Портвейн красный Ливадия — Массандра — Красное сладкое</t>
        </is>
      </c>
      <c r="Q39" t="inlineStr">
        <is>
          <t>Каберне Совиньон — Массандра — Красное сладкое</t>
        </is>
      </c>
      <c r="R39" t="inlineStr">
        <is>
          <t>Полусладкое Красное — Усадьба Перовских — Красное полусладкое</t>
        </is>
      </c>
      <c r="S39" s="3" t="n">
        <v>0.9996880292892456</v>
      </c>
      <c r="T39" s="3" t="n">
        <v>0.000203404895728454</v>
      </c>
      <c r="U39" t="n">
        <v>1005.4</v>
      </c>
    </row>
    <row r="40">
      <c r="A40" t="inlineStr">
        <is>
          <t>94.94_05-09-2026_15-04-50.webp</t>
        </is>
      </c>
      <c r="B40" t="inlineStr">
        <is>
          <t>не уверен</t>
        </is>
      </c>
      <c r="C40" t="inlineStr">
        <is>
          <t>denisov-winery-sovinon-blan-beloe-suhoe-115</t>
        </is>
      </c>
      <c r="D40" t="inlineStr">
        <is>
          <t>Совиньон Блан — Denisov Winery — Белое сухое</t>
        </is>
      </c>
      <c r="E40" t="inlineStr">
        <is>
          <t>этикетка немного другая. в slug черная, а на фото белая</t>
        </is>
      </c>
      <c r="F40" t="inlineStr">
        <is>
          <t>denisov-winery-sovinon-blan-beloe-suhoe-115</t>
        </is>
      </c>
      <c r="G40" t="inlineStr">
        <is>
          <t>dubinin-winery-sovinon-blan-beloe-suhoe-12</t>
        </is>
      </c>
      <c r="H40" t="inlineStr">
        <is>
          <t>imenie-sikory-sovinon-blan-sikory-beloe-suhoe-13</t>
        </is>
      </c>
      <c r="I40" t="inlineStr">
        <is>
          <t>znoj-denisov-vajneri</t>
        </is>
      </c>
      <c r="J40" t="inlineStr">
        <is>
          <t>zhemchuzhnaya-9-sovinon-blan-aligote</t>
        </is>
      </c>
      <c r="K40">
        <f>IF(C40="","",IFERROR(MATCH(C40,F40:J40,0),"нет"))</f>
        <v/>
      </c>
      <c r="L40">
        <f>IF(C40="","",IF(K40=1,1,0))</f>
        <v/>
      </c>
      <c r="M40">
        <f>IF(C40="","",IF(ISNUMBER(K40),1,0))</f>
        <v/>
      </c>
      <c r="N40" t="inlineStr">
        <is>
          <t>Совиньон Блан — Denisov Winery — Белое сухое</t>
        </is>
      </c>
      <c r="O40" t="inlineStr">
        <is>
          <t>Совиньон Блан — Dubinin Winery — Белое сухое</t>
        </is>
      </c>
      <c r="P40" t="inlineStr">
        <is>
          <t>Совиньон Блан Сикоры — Имение Сикоры — Белое сухое</t>
        </is>
      </c>
      <c r="Q40" t="inlineStr">
        <is>
          <t>Зной. Денисов Вайнери — Denisov Winery — Белое сухое</t>
        </is>
      </c>
      <c r="R40" t="inlineStr">
        <is>
          <t>Жемчужная 9 Совиньон блан, Алиготе — АРАТТИ — Белое сухое</t>
        </is>
      </c>
      <c r="S40" s="3" t="n">
        <v>0.9999990463256836</v>
      </c>
      <c r="T40" s="3" t="n">
        <v>3.466324187684222e-07</v>
      </c>
      <c r="U40" t="n">
        <v>1190.5</v>
      </c>
    </row>
    <row r="41">
      <c r="A41" t="inlineStr">
        <is>
          <t>94.97_02-09-2026_19-01-48.webp</t>
        </is>
      </c>
      <c r="B41" t="inlineStr">
        <is>
          <t>уверенно</t>
        </is>
      </c>
      <c r="C41" t="inlineStr">
        <is>
          <t>zhemchuzhnaya-9-pino-nuar-muskat-rozovyj-2</t>
        </is>
      </c>
      <c r="D41" t="inlineStr">
        <is>
          <t>Жемчужная 9 Пино нуар, Мускат Розовый — АРАТТИ — Розовое полусладкое</t>
        </is>
      </c>
      <c r="F41" t="inlineStr">
        <is>
          <t>zhemchuzhnaya-9-pino-nuar-muskat-rozovyj-2</t>
        </is>
      </c>
      <c r="G41" t="inlineStr">
        <is>
          <t>zhemchuzhnaya-9-pino-nuar-muskat-rozovyj-1</t>
        </is>
      </c>
      <c r="H41" t="inlineStr">
        <is>
          <t>zhemchuzhnaya-9-muskat-rozovyj-kaberne-sovinon</t>
        </is>
      </c>
      <c r="I41" t="inlineStr">
        <is>
          <t>zhemchuzhnaya-9-pino-nuar-muskat-rozovyj</t>
        </is>
      </c>
      <c r="J41" t="inlineStr">
        <is>
          <t>zhemchuzhnaya-9-muskat-rozovyj-pino-gri</t>
        </is>
      </c>
      <c r="K41">
        <f>IF(C41="","",IFERROR(MATCH(C41,F41:J41,0),"нет"))</f>
        <v/>
      </c>
      <c r="L41">
        <f>IF(C41="","",IF(K41=1,1,0))</f>
        <v/>
      </c>
      <c r="M41">
        <f>IF(C41="","",IF(ISNUMBER(K41),1,0))</f>
        <v/>
      </c>
      <c r="N41" t="inlineStr">
        <is>
          <t>Жемчужная 9 Пино нуар, Мускат Розовый — АРАТТИ — Розовое полусладкое</t>
        </is>
      </c>
      <c r="O41" t="inlineStr">
        <is>
          <t>Жемчужная 9 Пино Нуар, Мускат розовый — АРАТТИ — Розовое полусухое</t>
        </is>
      </c>
      <c r="P41" t="inlineStr">
        <is>
          <t>Жемчужная 9 Мускат Розовый, Каберне Совиньон — АРАТТИ — Розовое полусладкое</t>
        </is>
      </c>
      <c r="Q41" t="inlineStr">
        <is>
          <t>Жемчужная 9 Пино Нуар, Мускат Розовый — АРАТТИ — Розовое сухое</t>
        </is>
      </c>
      <c r="R41" t="inlineStr">
        <is>
          <t>Жемчужная 9 Мускат Розовый, Пино гри — АРАТТИ — Розовое сухое</t>
        </is>
      </c>
      <c r="S41" s="3" t="n">
        <v>0.9999986886978149</v>
      </c>
      <c r="T41" s="3" t="n">
        <v>9.931181921274401e-08</v>
      </c>
      <c r="U41" t="n">
        <v>994.2</v>
      </c>
    </row>
    <row r="42">
      <c r="A42" t="inlineStr">
        <is>
          <t>95.03_04-09-2026_11-39-35.webp</t>
        </is>
      </c>
      <c r="B42" t="inlineStr">
        <is>
          <t>уверенно</t>
        </is>
      </c>
      <c r="C42" t="inlineStr">
        <is>
          <t>fanagoriya-zelyonoe-vino-risling-tsitronnyy-magaracha-beloe-polusuhoe-11</t>
        </is>
      </c>
      <c r="D42" t="inlineStr">
        <is>
          <t>Зелёное вино. Рислинг - Цитронный Магарача — Фанагория — Белое полусухое</t>
        </is>
      </c>
      <c r="F42" t="inlineStr">
        <is>
          <t>fanagoriya-zelyonoe-vino-risling-tsitronnyy-magaracha-beloe-polusuhoe-11</t>
        </is>
      </c>
      <c r="G42" t="inlineStr">
        <is>
          <t>fanagoriya-zelyonoe-vino-risling-tsitronnyy-magaracha-merlo-rozovoe-polusuhoe-11</t>
        </is>
      </c>
      <c r="H42" t="inlineStr">
        <is>
          <t>fanagoriya-beloe-polusladkoe</t>
        </is>
      </c>
      <c r="I42" t="inlineStr">
        <is>
          <t>fanagoriya-ona-skazala-da-beloe-polusladkoe</t>
        </is>
      </c>
      <c r="J42" t="inlineStr">
        <is>
          <t>vinodelnya-vedernikov-vedernikov-dolina-dona-beloe-suhoe-aligote-12</t>
        </is>
      </c>
      <c r="K42">
        <f>IF(C42="","",IFERROR(MATCH(C42,F42:J42,0),"нет"))</f>
        <v/>
      </c>
      <c r="L42">
        <f>IF(C42="","",IF(K42=1,1,0))</f>
        <v/>
      </c>
      <c r="M42">
        <f>IF(C42="","",IF(ISNUMBER(K42),1,0))</f>
        <v/>
      </c>
      <c r="N42" t="inlineStr">
        <is>
          <t>Зелёное вино. Рислинг - Цитронный Магарача — Фанагория — Белое полусухое</t>
        </is>
      </c>
      <c r="O42" t="inlineStr">
        <is>
          <t>Зелёное вино. Рислинг - Цитронный Магарача - Мерло — Фанагория — Розовое полусухое</t>
        </is>
      </c>
      <c r="P42" t="inlineStr">
        <is>
          <t>Фанагория белое полусладкое — Фанагория — Белое полусладкое</t>
        </is>
      </c>
      <c r="Q42" t="inlineStr">
        <is>
          <t>Фанагория Она сказала Да! белое полусладкое — Фанагория — Белое полусладкое</t>
        </is>
      </c>
      <c r="R42" t="inlineStr">
        <is>
          <t>Ведерниковъ Долина Дона Белое Сухое — Ведерниковъ — Белое сухое</t>
        </is>
      </c>
      <c r="S42" s="3" t="n">
        <v>0.9999998807907104</v>
      </c>
      <c r="T42" s="3" t="n">
        <v>5.315784790127509e-08</v>
      </c>
      <c r="U42" t="n">
        <v>1234.1</v>
      </c>
    </row>
    <row r="43">
      <c r="A43" t="inlineStr">
        <is>
          <t>95.07_01-09-2026_16-15-35.webp</t>
        </is>
      </c>
      <c r="B43" t="inlineStr">
        <is>
          <t>нет в каталоге</t>
        </is>
      </c>
      <c r="F43" t="inlineStr">
        <is>
          <t>khrustaleva-76-muscat-bryut-beloe</t>
        </is>
      </c>
      <c r="G43" t="inlineStr">
        <is>
          <t>shato-pino-pino-gri-roze-rozovoe-ekstra-bryut-12</t>
        </is>
      </c>
      <c r="H43" t="inlineStr">
        <is>
          <t>kuban-vino-aristov-kyuve-aleksandr-blanc-de-blancs-36-shardone-beloe-ekstra-bryut-12</t>
        </is>
      </c>
      <c r="I43" t="inlineStr">
        <is>
          <t>kuban-vino-aristov-kyuve-aleksandr-rose-de-pinot-pino-nuar-rozovoe-ekstra-bryut-12</t>
        </is>
      </c>
      <c r="J43" t="inlineStr">
        <is>
          <t>usadba-perovskih-blanc-de-blancs-shardone-beloe-ekstra-bryut-11</t>
        </is>
      </c>
      <c r="K43">
        <f>IF(C43="","",IFERROR(MATCH(C43,F43:J43,0),"нет"))</f>
        <v/>
      </c>
      <c r="L43">
        <f>IF(C43="","",IF(K43=1,1,0))</f>
        <v/>
      </c>
      <c r="M43">
        <f>IF(C43="","",IF(ISNUMBER(K43),1,0))</f>
        <v/>
      </c>
      <c r="N43" t="inlineStr">
        <is>
          <t>Khrustaleva 76 muscat, брют, белое — AYA Organic Wine &amp; Vineyards — Белое брют</t>
        </is>
      </c>
      <c r="O43" t="inlineStr">
        <is>
          <t>Пино Гри розе — Шато Пино — Розовое экстра брют</t>
        </is>
      </c>
      <c r="P43" t="inlineStr">
        <is>
          <t>Аристов. Кюве Александр Blanc de Blancs 36 — Кубань-Вино — Белое экстра брют</t>
        </is>
      </c>
      <c r="Q43" t="inlineStr">
        <is>
          <t>Аристов. Кюве Александр Rose de Pinot — Кубань-Вино — Розовое экстра брют</t>
        </is>
      </c>
      <c r="R43" t="inlineStr">
        <is>
          <t>Blanc de Blancs — Усадьба Перовских — Белое экстра брют</t>
        </is>
      </c>
      <c r="S43" s="3" t="n">
        <v>0.9998711347579956</v>
      </c>
      <c r="T43" s="3" t="n">
        <v>0.0001088947392418049</v>
      </c>
      <c r="U43" t="n">
        <v>1536.2</v>
      </c>
    </row>
    <row r="44">
      <c r="A44" t="inlineStr">
        <is>
          <t>95.17_29-08-2026_11-06-42.webp</t>
        </is>
      </c>
      <c r="B44" t="inlineStr">
        <is>
          <t>нет в каталоге</t>
        </is>
      </c>
      <c r="F44" t="inlineStr">
        <is>
          <t>golubitskoe-estate-pino-nuar-rezerv-krasnoe-suhoe-132</t>
        </is>
      </c>
      <c r="G44" t="inlineStr">
        <is>
          <t>golubitskoe-estate-winery-series-pino-nuar-rozovoe-suhoe-115</t>
        </is>
      </c>
      <c r="H44" t="inlineStr">
        <is>
          <t>golubitskoe-estate-red-blend-kaberne-sovinon-krasnoe-suhoe-136</t>
        </is>
      </c>
      <c r="I44" t="inlineStr">
        <is>
          <t>golubitskoe-estate-sovinon-blan-beloe-suhoe-11</t>
        </is>
      </c>
      <c r="J44" t="inlineStr">
        <is>
          <t>golubitskoe-estate-shardone-rezerv-beloe-suhoe-135</t>
        </is>
      </c>
      <c r="K44">
        <f>IF(C44="","",IFERROR(MATCH(C44,F44:J44,0),"нет"))</f>
        <v/>
      </c>
      <c r="L44">
        <f>IF(C44="","",IF(K44=1,1,0))</f>
        <v/>
      </c>
      <c r="M44">
        <f>IF(C44="","",IF(ISNUMBER(K44),1,0))</f>
        <v/>
      </c>
      <c r="N44" t="inlineStr">
        <is>
          <t>Пино Нуар Резерв — Golubitskoe Estate — Красное сухое</t>
        </is>
      </c>
      <c r="O44" t="inlineStr">
        <is>
          <t>Winery Series. Пино Нуар — Golubitskoe Estate — Розовое сухое</t>
        </is>
      </c>
      <c r="P44" t="inlineStr">
        <is>
          <t>Red Blend — Golubitskoe Estate — Красное сухое</t>
        </is>
      </c>
      <c r="Q44" t="inlineStr">
        <is>
          <t>Совиньон Блан — Golubitskoe Estate — Белое сухое</t>
        </is>
      </c>
      <c r="R44" t="inlineStr">
        <is>
          <t>Шардоне Резерв — Golubitskoe Estate — Белое сухое</t>
        </is>
      </c>
      <c r="S44" s="3" t="n">
        <v>0.9281395673751831</v>
      </c>
      <c r="T44" s="3" t="n">
        <v>0.002300627995282412</v>
      </c>
      <c r="U44" t="n">
        <v>939</v>
      </c>
    </row>
    <row r="45">
      <c r="A45" t="inlineStr">
        <is>
          <t>95.19_05-09-2026_15-32-06.webp</t>
        </is>
      </c>
      <c r="B45" t="inlineStr">
        <is>
          <t>нет в каталоге</t>
        </is>
      </c>
      <c r="F45" t="inlineStr">
        <is>
          <t>fanagoriya-alveus-ultra-cuvee-bryut-rozovoe-merlo-igristoe-bryut-rozovoe-12</t>
        </is>
      </c>
      <c r="G45" t="inlineStr">
        <is>
          <t>fanagoriya-primum-alveus-brut-2016-shardone-igristoe-bryut-beloe-12</t>
        </is>
      </c>
      <c r="H45" t="inlineStr">
        <is>
          <t>fanagoriya-alveus-ultra-cuvee-brut-shardone-beloe-bryut-12</t>
        </is>
      </c>
      <c r="I45" t="inlineStr">
        <is>
          <t>fanagoriya-alveus-ultra-cuvee-ekstra-bryut-rozovoe-merlo-12</t>
        </is>
      </c>
      <c r="J45" t="inlineStr">
        <is>
          <t>fanagoriya-alveus-ultra-cuvee-ekstra-bryut-beloe-risling-reynskiy-12</t>
        </is>
      </c>
      <c r="K45">
        <f>IF(C45="","",IFERROR(MATCH(C45,F45:J45,0),"нет"))</f>
        <v/>
      </c>
      <c r="L45">
        <f>IF(C45="","",IF(K45=1,1,0))</f>
        <v/>
      </c>
      <c r="M45">
        <f>IF(C45="","",IF(ISNUMBER(K45),1,0))</f>
        <v/>
      </c>
      <c r="N45" t="inlineStr">
        <is>
          <t>Alveus Ultra Cuvee. Брют розовое — Фанагория — Розовое брют</t>
        </is>
      </c>
      <c r="O45" t="inlineStr">
        <is>
          <t>Primum Alveus Brut 2016 — Фанагория — Белое брют</t>
        </is>
      </c>
      <c r="P45" t="inlineStr">
        <is>
          <t>Alveus Ultra Cuvee Brut — Фанагория — Белое брют</t>
        </is>
      </c>
      <c r="Q45" t="inlineStr">
        <is>
          <t>Alveus Ultra Cuvee. Экстра брют розовое — Фанагория — Розовое экстра брют</t>
        </is>
      </c>
      <c r="R45" t="inlineStr">
        <is>
          <t>Alveus Ultra Cuvee. Экстра брют белое — Фанагория — Белое экстра брют</t>
        </is>
      </c>
      <c r="S45" s="3" t="n">
        <v>0.9915540814399719</v>
      </c>
      <c r="T45" s="3" t="n">
        <v>0.006681038998067379</v>
      </c>
      <c r="U45" t="n">
        <v>1358.8</v>
      </c>
    </row>
    <row r="46">
      <c r="A46" t="inlineStr">
        <is>
          <t>95.24_19-08-2026_20-00-22.webp</t>
        </is>
      </c>
      <c r="B46" t="inlineStr">
        <is>
          <t>уверенно</t>
        </is>
      </c>
      <c r="C46" t="inlineStr">
        <is>
          <t>zhemchuzhnaya-9-czitron-shardone-1</t>
        </is>
      </c>
      <c r="D46" t="inlineStr">
        <is>
          <t>Жемчужная 9 Цитрон, Шардоне — АРАТТИ — Белое полусладкое</t>
        </is>
      </c>
      <c r="F46" t="inlineStr">
        <is>
          <t>zhemchuzhnaya-9-czitron-shardone-1</t>
        </is>
      </c>
      <c r="G46" t="inlineStr">
        <is>
          <t>czitronnyj-magaracha-sovinon-blan</t>
        </is>
      </c>
      <c r="H46" t="inlineStr">
        <is>
          <t>zhemchuzhnaya-9-czitron-shardone</t>
        </is>
      </c>
      <c r="I46" t="inlineStr">
        <is>
          <t>zhemchuzhnaya-9-aligote-czitron</t>
        </is>
      </c>
      <c r="J46" t="inlineStr">
        <is>
          <t>zhemchuzhnaya-9-sovinon-blan-aligote</t>
        </is>
      </c>
      <c r="K46">
        <f>IF(C46="","",IFERROR(MATCH(C46,F46:J46,0),"нет"))</f>
        <v/>
      </c>
      <c r="L46">
        <f>IF(C46="","",IF(K46=1,1,0))</f>
        <v/>
      </c>
      <c r="M46">
        <f>IF(C46="","",IF(ISNUMBER(K46),1,0))</f>
        <v/>
      </c>
      <c r="N46" t="inlineStr">
        <is>
          <t>Жемчужная 9 Цитрон, Шардоне — АРАТТИ — Белое полусладкое</t>
        </is>
      </c>
      <c r="O46" t="inlineStr">
        <is>
          <t>Жемчужная 9 Цитрон, Совиньон блан — АРАТТИ — Белое полусухое</t>
        </is>
      </c>
      <c r="P46" t="inlineStr">
        <is>
          <t>Жемчужная 9 Цитрон, Шардоне — АРАТТИ — Белое сухое</t>
        </is>
      </c>
      <c r="Q46" t="inlineStr">
        <is>
          <t>Жемчужная 9 Алиготе, Цитрон — АРАТТИ — Белое сухое</t>
        </is>
      </c>
      <c r="R46" t="inlineStr">
        <is>
          <t>Жемчужная 9 Совиньон блан, Алиготе — АРАТТИ — Белое сухое</t>
        </is>
      </c>
      <c r="S46" s="3" t="n">
        <v>0.9999997615814209</v>
      </c>
      <c r="T46" s="3" t="n">
        <v>5.315784079584773e-08</v>
      </c>
      <c r="U46" t="n">
        <v>905</v>
      </c>
    </row>
    <row r="47">
      <c r="A47" t="inlineStr">
        <is>
          <t>95.29_21-08-2026_17-24-49.webp</t>
        </is>
      </c>
      <c r="B47" t="inlineStr">
        <is>
          <t>нет в каталоге</t>
        </is>
      </c>
      <c r="F47" t="inlineStr">
        <is>
          <t>risling-1</t>
        </is>
      </c>
      <c r="G47" t="inlineStr">
        <is>
          <t>bakla-vines-pino-nuar-krasnoe-suhoe-125</t>
        </is>
      </c>
      <c r="H47" t="inlineStr">
        <is>
          <t>vaynkraft-pino-nuar-krasnoe-suhoe-13</t>
        </is>
      </c>
      <c r="I47" t="inlineStr">
        <is>
          <t>oleg</t>
        </is>
      </c>
      <c r="J47" t="inlineStr">
        <is>
          <t>usadba-mezyb-shishka-pino-nuar-rozovoe-suhoe-115</t>
        </is>
      </c>
      <c r="K47">
        <f>IF(C47="","",IFERROR(MATCH(C47,F47:J47,0),"нет"))</f>
        <v/>
      </c>
      <c r="L47">
        <f>IF(C47="","",IF(K47=1,1,0))</f>
        <v/>
      </c>
      <c r="M47">
        <f>IF(C47="","",IF(ISNUMBER(K47),1,0))</f>
        <v/>
      </c>
      <c r="N47" t="inlineStr">
        <is>
          <t>Рислинг — Табия — Белое полусухое</t>
        </is>
      </c>
      <c r="O47" t="inlineStr">
        <is>
          <t>Пино Нуар — Bakla Vines — Красное сухое</t>
        </is>
      </c>
      <c r="P47" t="inlineStr">
        <is>
          <t>Пино Нуар — ВайнКрафт — Красное сухое</t>
        </is>
      </c>
      <c r="Q47" t="inlineStr">
        <is>
          <t>Олег — Табия — Белое сухое</t>
        </is>
      </c>
      <c r="R47" t="inlineStr">
        <is>
          <t>Шишка. Пино Нуар — Усадьба Мезыбь — Розовое сухое</t>
        </is>
      </c>
      <c r="S47" s="3" t="n">
        <v>0.9998751878738403</v>
      </c>
      <c r="T47" s="3" t="n">
        <v>1.147746752394596e-05</v>
      </c>
      <c r="U47" t="n">
        <v>1151</v>
      </c>
    </row>
    <row r="48">
      <c r="A48" t="inlineStr">
        <is>
          <t>95.2_05-09-2026_13-54-13.webp</t>
        </is>
      </c>
      <c r="B48" t="inlineStr">
        <is>
          <t>уверенно</t>
        </is>
      </c>
      <c r="C48" t="inlineStr">
        <is>
          <t>aratti-kaberne-po-belomu-1</t>
        </is>
      </c>
      <c r="D48" t="inlineStr">
        <is>
          <t>АРАТТИ Каберне по-белому — АРАТТИ — Розовое полусухое</t>
        </is>
      </c>
      <c r="F48" t="inlineStr">
        <is>
          <t>aratti-kaberne-po-belomu-1</t>
        </is>
      </c>
      <c r="G48" t="inlineStr">
        <is>
          <t>aratti-kaberne-po-belomu</t>
        </is>
      </c>
      <c r="H48" t="inlineStr">
        <is>
          <t>aratti-kaberne-sovinon-2021-krasnoe-suhoe</t>
        </is>
      </c>
      <c r="I48" t="inlineStr">
        <is>
          <t>aratti-muskat-belyj-polusuhoe</t>
        </is>
      </c>
      <c r="J48" t="inlineStr">
        <is>
          <t>aratti-sovinon-blan-beloe-polusuhoe</t>
        </is>
      </c>
      <c r="K48">
        <f>IF(C48="","",IFERROR(MATCH(C48,F48:J48,0),"нет"))</f>
        <v/>
      </c>
      <c r="L48">
        <f>IF(C48="","",IF(K48=1,1,0))</f>
        <v/>
      </c>
      <c r="M48">
        <f>IF(C48="","",IF(ISNUMBER(K48),1,0))</f>
        <v/>
      </c>
      <c r="N48" t="inlineStr">
        <is>
          <t>АРАТТИ Каберне по-белому — АРАТТИ — Розовое полусухое</t>
        </is>
      </c>
      <c r="O48" t="inlineStr">
        <is>
          <t>АРАТТИ Каберне по-белому — АРАТТИ — Красное сухое</t>
        </is>
      </c>
      <c r="P48" t="inlineStr">
        <is>
          <t>АРАТТИ Каберне Совиньон 2021 красное сухое — АРАТТИ — Красное сухое</t>
        </is>
      </c>
      <c r="Q48" t="inlineStr">
        <is>
          <t>АРАТТИ Мускат белый полусухое — АРАТТИ — Белое полусухое</t>
        </is>
      </c>
      <c r="R48" t="inlineStr">
        <is>
          <t>АРАТТИ Совиньон блан белое полусухое — АРАТТИ — Белое полусухое</t>
        </is>
      </c>
      <c r="S48" s="3" t="n">
        <v>0.9999997615814209</v>
      </c>
      <c r="T48" s="3" t="n">
        <v>4.139936748970285e-08</v>
      </c>
      <c r="U48" t="n">
        <v>808.4</v>
      </c>
    </row>
    <row r="49">
      <c r="A49" t="inlineStr">
        <is>
          <t>95.32_02-09-2026_12-09-23.webp</t>
        </is>
      </c>
      <c r="B49" t="inlineStr">
        <is>
          <t>уверенно</t>
        </is>
      </c>
      <c r="C49" t="inlineStr">
        <is>
          <t>sovinon-blan</t>
        </is>
      </c>
      <c r="D49" t="inlineStr">
        <is>
          <t>Совиньон Блан — Литавщук. Litavshchuk vineyards &amp; winery — Белое полусладкое</t>
        </is>
      </c>
      <c r="F49" t="inlineStr">
        <is>
          <t>sovinon-blan</t>
        </is>
      </c>
      <c r="G49" t="inlineStr">
        <is>
          <t>domashnyaya-gorka</t>
        </is>
      </c>
      <c r="H49" t="inlineStr">
        <is>
          <t>blagolyubov-sovinon-blan-beloe-suhoe-125</t>
        </is>
      </c>
      <c r="I49" t="inlineStr">
        <is>
          <t>dubinin-winery-sovinon-blan-beloe-suhoe-12</t>
        </is>
      </c>
      <c r="J49" t="inlineStr">
        <is>
          <t>risling-2</t>
        </is>
      </c>
      <c r="K49">
        <f>IF(C49="","",IFERROR(MATCH(C49,F49:J49,0),"нет"))</f>
        <v/>
      </c>
      <c r="L49">
        <f>IF(C49="","",IF(K49=1,1,0))</f>
        <v/>
      </c>
      <c r="M49">
        <f>IF(C49="","",IF(ISNUMBER(K49),1,0))</f>
        <v/>
      </c>
      <c r="N49" t="inlineStr">
        <is>
          <t>Совиньон Блан — Литавщук. Litavshchuk vineyards &amp; winery — Белое полусладкое</t>
        </is>
      </c>
      <c r="O49" t="inlineStr">
        <is>
          <t>Домашняя горка  — Литавщук. Litavshchuk vineyards &amp; winery — Белое полусладкое</t>
        </is>
      </c>
      <c r="P49" t="inlineStr">
        <is>
          <t>Совиньон Блан — Благолюбов — Белое сухое</t>
        </is>
      </c>
      <c r="Q49" t="inlineStr">
        <is>
          <t>Совиньон Блан — Dubinin Winery — Белое сухое</t>
        </is>
      </c>
      <c r="R49" t="inlineStr">
        <is>
          <t>Рислинг  — Литавщук. Litavshchuk vineyards &amp; winery — Белое полусухое</t>
        </is>
      </c>
      <c r="S49" s="3" t="n">
        <v>1</v>
      </c>
      <c r="T49" s="3" t="n">
        <v>1.955568151856824e-08</v>
      </c>
      <c r="U49" t="n">
        <v>1857.9</v>
      </c>
    </row>
    <row r="50">
      <c r="A50" t="inlineStr">
        <is>
          <t>95.35_05-09-2026_15-29-53.webp</t>
        </is>
      </c>
      <c r="B50" t="inlineStr">
        <is>
          <t>нет в каталоге</t>
        </is>
      </c>
      <c r="F50" t="inlineStr">
        <is>
          <t>fanagoriya-alveus-ultra-cuvee-bryut-rozovoe-merlo-igristoe-bryut-rozovoe-12</t>
        </is>
      </c>
      <c r="G50" t="inlineStr">
        <is>
          <t>fanagoriya-primum-alveus-brut-2016-shardone-igristoe-bryut-beloe-12</t>
        </is>
      </c>
      <c r="H50" t="inlineStr">
        <is>
          <t>fanagoriya-alveus-ultra-cuvee-brut-shardone-beloe-bryut-12</t>
        </is>
      </c>
      <c r="I50" t="inlineStr">
        <is>
          <t>fanagoriya-alveus-ultra-cuvee-ekstra-bryut-rozovoe-merlo-12</t>
        </is>
      </c>
      <c r="J50" t="inlineStr">
        <is>
          <t>fanagoriya-alveus-ultra-cuvee-ekstra-bryut-beloe-risling-reynskiy-12</t>
        </is>
      </c>
      <c r="K50">
        <f>IF(C50="","",IFERROR(MATCH(C50,F50:J50,0),"нет"))</f>
        <v/>
      </c>
      <c r="L50">
        <f>IF(C50="","",IF(K50=1,1,0))</f>
        <v/>
      </c>
      <c r="M50">
        <f>IF(C50="","",IF(ISNUMBER(K50),1,0))</f>
        <v/>
      </c>
      <c r="N50" t="inlineStr">
        <is>
          <t>Alveus Ultra Cuvee. Брют розовое — Фанагория — Розовое брют</t>
        </is>
      </c>
      <c r="O50" t="inlineStr">
        <is>
          <t>Primum Alveus Brut 2016 — Фанагория — Белое брют</t>
        </is>
      </c>
      <c r="P50" t="inlineStr">
        <is>
          <t>Alveus Ultra Cuvee Brut — Фанагория — Белое брют</t>
        </is>
      </c>
      <c r="Q50" t="inlineStr">
        <is>
          <t>Alveus Ultra Cuvee. Экстра брют розовое — Фанагория — Розовое экстра брют</t>
        </is>
      </c>
      <c r="R50" t="inlineStr">
        <is>
          <t>Alveus Ultra Cuvee. Экстра брют белое — Фанагория — Белое экстра брют</t>
        </is>
      </c>
      <c r="S50" s="3" t="n">
        <v>0.9311308264732361</v>
      </c>
      <c r="T50" s="3" t="n">
        <v>0.06745089590549469</v>
      </c>
      <c r="U50" t="n">
        <v>1381.4</v>
      </c>
    </row>
    <row r="51">
      <c r="A51" t="inlineStr">
        <is>
          <t>95.36_28-08-2026_17-09-04.webp</t>
        </is>
      </c>
      <c r="B51" t="inlineStr">
        <is>
          <t>нет в каталоге</t>
        </is>
      </c>
      <c r="F51" t="inlineStr">
        <is>
          <t>winemaker-selection</t>
        </is>
      </c>
      <c r="G51" t="inlineStr">
        <is>
          <t>inkerman-shato-blan</t>
        </is>
      </c>
      <c r="H51" t="inlineStr">
        <is>
          <t>inkermanskiy-zmv-inkerman-bryut-rkatsiteli-beloe-12</t>
        </is>
      </c>
      <c r="I51" t="inlineStr">
        <is>
          <t>inkermanskiy-zmv-inkerman-polusladkoe-rkatsiteli-beloe-13</t>
        </is>
      </c>
      <c r="J51" t="inlineStr">
        <is>
          <t>inkermanskiy-zmv-winemakers-selection-saperavi-krasnoe-polusladkoe-12</t>
        </is>
      </c>
      <c r="K51">
        <f>IF(C51="","",IFERROR(MATCH(C51,F51:J51,0),"нет"))</f>
        <v/>
      </c>
      <c r="L51">
        <f>IF(C51="","",IF(K51=1,1,0))</f>
        <v/>
      </c>
      <c r="M51">
        <f>IF(C51="","",IF(ISNUMBER(K51),1,0))</f>
        <v/>
      </c>
      <c r="N51" t="inlineStr">
        <is>
          <t>Winemaker selection — Инкерманский ЗМВ — Белое полусухое</t>
        </is>
      </c>
      <c r="O51" t="inlineStr">
        <is>
          <t>Инкерман Шато Блан — Инкерманский ЗМВ — Белое полусухое</t>
        </is>
      </c>
      <c r="P51" t="inlineStr">
        <is>
          <t>Инкерман Брют — Инкерманский ЗМВ — Белое брют</t>
        </is>
      </c>
      <c r="Q51" t="inlineStr">
        <is>
          <t>Инкерман полусладкое — Инкерманский ЗМВ — Белое полусладкое</t>
        </is>
      </c>
      <c r="R51" t="inlineStr">
        <is>
          <t>Winemaker's Selection Саперави — Инкерманский ЗМВ — Красное полусладкое</t>
        </is>
      </c>
      <c r="S51" s="3" t="n">
        <v>0.9999901056289673</v>
      </c>
      <c r="T51" s="3" t="n">
        <v>1.067693460754526e-06</v>
      </c>
      <c r="U51" t="n">
        <v>1111.9</v>
      </c>
    </row>
    <row r="52">
      <c r="A52" t="inlineStr">
        <is>
          <t>95.49_05-09-2026_15-34-51.webp</t>
        </is>
      </c>
      <c r="B52" t="inlineStr">
        <is>
          <t>уверенно</t>
        </is>
      </c>
      <c r="C52" t="inlineStr">
        <is>
          <t>zhemchuzhnaya-9-pino-nuar-muskat-rozovyj-2</t>
        </is>
      </c>
      <c r="D52" t="inlineStr">
        <is>
          <t>Жемчужная 9 Пино нуар, Мускат Розовый — АРАТТИ — Розовое полусладкое</t>
        </is>
      </c>
      <c r="F52" t="inlineStr">
        <is>
          <t>zhemchuzhnaya-9-pino-nuar-muskat-rozovyj-2</t>
        </is>
      </c>
      <c r="G52" t="inlineStr">
        <is>
          <t>zhemchuzhnaya-9-pino-nuar-muskat-rozovyj-1</t>
        </is>
      </c>
      <c r="H52" t="inlineStr">
        <is>
          <t>zhemchuzhnaya-9-pino-nuar-muskat-rozovyj</t>
        </is>
      </c>
      <c r="I52" t="inlineStr">
        <is>
          <t>zhemchuzhnaya-9-muskat-rozovyj-kaberne-sovinon</t>
        </is>
      </c>
      <c r="J52" t="inlineStr">
        <is>
          <t>zhemchuzhnaya-9-muskat-rozovyj-pino-gri</t>
        </is>
      </c>
      <c r="K52">
        <f>IF(C52="","",IFERROR(MATCH(C52,F52:J52,0),"нет"))</f>
        <v/>
      </c>
      <c r="L52">
        <f>IF(C52="","",IF(K52=1,1,0))</f>
        <v/>
      </c>
      <c r="M52">
        <f>IF(C52="","",IF(ISNUMBER(K52),1,0))</f>
        <v/>
      </c>
      <c r="N52" t="inlineStr">
        <is>
          <t>Жемчужная 9 Пино нуар, Мускат Розовый — АРАТТИ — Розовое полусладкое</t>
        </is>
      </c>
      <c r="O52" t="inlineStr">
        <is>
          <t>Жемчужная 9 Пино Нуар, Мускат розовый — АРАТТИ — Розовое полусухое</t>
        </is>
      </c>
      <c r="P52" t="inlineStr">
        <is>
          <t>Жемчужная 9 Пино Нуар, Мускат Розовый — АРАТТИ — Розовое сухое</t>
        </is>
      </c>
      <c r="Q52" t="inlineStr">
        <is>
          <t>Жемчужная 9 Мускат Розовый, Каберне Совиньон — АРАТТИ — Розовое полусладкое</t>
        </is>
      </c>
      <c r="R52" t="inlineStr">
        <is>
          <t>Жемчужная 9 Мускат Розовый, Пино гри — АРАТТИ — Розовое сухое</t>
        </is>
      </c>
      <c r="S52" s="3" t="n">
        <v>0.9999938011169434</v>
      </c>
      <c r="T52" s="3" t="n">
        <v>3.224166889026492e-08</v>
      </c>
      <c r="U52" t="n">
        <v>897.8</v>
      </c>
    </row>
    <row r="53">
      <c r="A53" t="inlineStr">
        <is>
          <t>95.63_24-08-2026_17-47-43.webp</t>
        </is>
      </c>
      <c r="B53" t="inlineStr">
        <is>
          <t>уверенно</t>
        </is>
      </c>
      <c r="C53" t="inlineStr">
        <is>
          <t>rubin-golodrigi</t>
        </is>
      </c>
      <c r="D53" t="inlineStr">
        <is>
          <t>Рубин Голодриги  — Табия — Красное сухое</t>
        </is>
      </c>
      <c r="F53" t="inlineStr">
        <is>
          <t>rubin-golodrigi</t>
        </is>
      </c>
      <c r="G53" t="inlineStr">
        <is>
          <t>kaberne-sovinon-2</t>
        </is>
      </c>
      <c r="H53" t="inlineStr">
        <is>
          <t>bukovinka</t>
        </is>
      </c>
      <c r="I53" t="inlineStr">
        <is>
          <t>roze-2</t>
        </is>
      </c>
      <c r="J53" t="inlineStr">
        <is>
          <t>rozovoe-zoloto</t>
        </is>
      </c>
      <c r="K53">
        <f>IF(C53="","",IFERROR(MATCH(C53,F53:J53,0),"нет"))</f>
        <v/>
      </c>
      <c r="L53">
        <f>IF(C53="","",IF(K53=1,1,0))</f>
        <v/>
      </c>
      <c r="M53">
        <f>IF(C53="","",IF(ISNUMBER(K53),1,0))</f>
        <v/>
      </c>
      <c r="N53" t="inlineStr">
        <is>
          <t>Рубин Голодриги  — Табия — Красное сухое</t>
        </is>
      </c>
      <c r="O53" t="inlineStr">
        <is>
          <t>Каберне Совиньон — Табия — Красное сухое</t>
        </is>
      </c>
      <c r="P53" t="inlineStr">
        <is>
          <t>Буковинка — Табия — Белое полусухое</t>
        </is>
      </c>
      <c r="Q53" t="inlineStr">
        <is>
          <t>Розе — Табия — Розовое сухое</t>
        </is>
      </c>
      <c r="R53" t="inlineStr">
        <is>
          <t>Розовое золото — Табия — Розовое полусухое</t>
        </is>
      </c>
      <c r="S53" s="3" t="n">
        <v>1</v>
      </c>
      <c r="T53" s="3" t="n">
        <v>2.845334812207057e-08</v>
      </c>
      <c r="U53" t="n">
        <v>715</v>
      </c>
    </row>
    <row r="54">
      <c r="A54" t="inlineStr">
        <is>
          <t>95.75_02-09-2026_14-47-49.webp</t>
        </is>
      </c>
      <c r="B54" t="inlineStr">
        <is>
          <t>уверенно</t>
        </is>
      </c>
      <c r="C54" t="inlineStr">
        <is>
          <t>uva-vallis-risling</t>
        </is>
      </c>
      <c r="D54" t="inlineStr">
        <is>
          <t>Uva Vallis Рислинг — Uva Vallis — Красное сухое</t>
        </is>
      </c>
      <c r="F54" t="inlineStr">
        <is>
          <t>uva-vallis-risling</t>
        </is>
      </c>
      <c r="G54" t="inlineStr">
        <is>
          <t>uva-vallis-shardone</t>
        </is>
      </c>
      <c r="H54" t="inlineStr">
        <is>
          <t>uva-vallis-sovinon-blan</t>
        </is>
      </c>
      <c r="I54" t="inlineStr">
        <is>
          <t>uva-vallis-sira</t>
        </is>
      </c>
      <c r="J54" t="inlineStr">
        <is>
          <t>agora-rosa-viva-riesling</t>
        </is>
      </c>
      <c r="K54">
        <f>IF(C54="","",IFERROR(MATCH(C54,F54:J54,0),"нет"))</f>
        <v/>
      </c>
      <c r="L54">
        <f>IF(C54="","",IF(K54=1,1,0))</f>
        <v/>
      </c>
      <c r="M54">
        <f>IF(C54="","",IF(ISNUMBER(K54),1,0))</f>
        <v/>
      </c>
      <c r="N54" t="inlineStr">
        <is>
          <t>Uva Vallis Рислинг — Uva Vallis — Красное сухое</t>
        </is>
      </c>
      <c r="O54" t="inlineStr">
        <is>
          <t>Uva Vallis Шардоне — Uva Vallis — Белое сухое</t>
        </is>
      </c>
      <c r="P54" t="inlineStr">
        <is>
          <t>Uva Vallis Совиньон Блан — Uva Vallis — Белое сухое</t>
        </is>
      </c>
      <c r="Q54" t="inlineStr">
        <is>
          <t>Uva Vallis Сира — Uva Vallis — Красное сухое</t>
        </is>
      </c>
      <c r="R54" t="inlineStr">
        <is>
          <t>Agora ROSA VIVA Riesling — AGORA WINERY — Белое сухое</t>
        </is>
      </c>
      <c r="S54" s="3" t="n">
        <v>0.9999997615814209</v>
      </c>
      <c r="T54" s="3" t="n">
        <v>1.855391076333035e-07</v>
      </c>
      <c r="U54" t="n">
        <v>871.8</v>
      </c>
    </row>
    <row r="55">
      <c r="A55" t="inlineStr">
        <is>
          <t>95.76_23-08-2026_18-19-43.webp</t>
        </is>
      </c>
      <c r="B55" t="inlineStr">
        <is>
          <t>уверенно</t>
        </is>
      </c>
      <c r="C55" t="inlineStr">
        <is>
          <t>denisov_barynya_kurmyshi</t>
        </is>
      </c>
      <c r="D55" t="inlineStr">
        <is>
          <t>Барыня. Курмыши — Denisov Winery — Розовое сухое</t>
        </is>
      </c>
      <c r="F55" t="inlineStr">
        <is>
          <t>denisov_barynya_kurmyshi</t>
        </is>
      </c>
      <c r="G55" t="inlineStr">
        <is>
          <t>denisov_pereplyas_kurmyshi</t>
        </is>
      </c>
      <c r="H55" t="inlineStr">
        <is>
          <t>denisov-winery-assamblyazh-rubin-golodrigi-rozovoe-suhoe-12</t>
        </is>
      </c>
      <c r="I55" t="inlineStr">
        <is>
          <t>zakat-denisov-vajneri</t>
        </is>
      </c>
      <c r="J55" t="inlineStr">
        <is>
          <t>denisov_pino_noir_klaret</t>
        </is>
      </c>
      <c r="K55">
        <f>IF(C55="","",IFERROR(MATCH(C55,F55:J55,0),"нет"))</f>
        <v/>
      </c>
      <c r="L55">
        <f>IF(C55="","",IF(K55=1,1,0))</f>
        <v/>
      </c>
      <c r="M55">
        <f>IF(C55="","",IF(ISNUMBER(K55),1,0))</f>
        <v/>
      </c>
      <c r="N55" t="inlineStr">
        <is>
          <t>Барыня. Курмыши — Denisov Winery — Розовое сухое</t>
        </is>
      </c>
      <c r="O55" t="inlineStr">
        <is>
          <t>Перепляс. Курмыши — Denisov Winery — Розовое сухое</t>
        </is>
      </c>
      <c r="P55" t="inlineStr">
        <is>
          <t>Ассамбляж — Denisov Winery — Розовое сухое</t>
        </is>
      </c>
      <c r="Q55" t="inlineStr">
        <is>
          <t>Закат. Денисов Вайнери — Denisov Winery — Розовое сухое</t>
        </is>
      </c>
      <c r="R55" t="inlineStr">
        <is>
          <t>Пино Нуар кларет. Красная стрелка — Denisov Winery — Розовое сухое</t>
        </is>
      </c>
      <c r="S55" s="3" t="n">
        <v>0.9989610910415649</v>
      </c>
      <c r="T55" s="3" t="n">
        <v>8.306648737743672e-07</v>
      </c>
      <c r="U55" t="n">
        <v>1188.9</v>
      </c>
    </row>
    <row r="56">
      <c r="A56" t="inlineStr">
        <is>
          <t>95.88_02-09-2026_14-41-59.webp</t>
        </is>
      </c>
      <c r="B56" t="inlineStr">
        <is>
          <t>уверенно</t>
        </is>
      </c>
      <c r="C56" t="inlineStr">
        <is>
          <t>fanagoriya-zelyonoe-vino-risling-tsitronnyy-magaracha-beloe-polusuhoe-11</t>
        </is>
      </c>
      <c r="D56" t="inlineStr">
        <is>
          <t>Зелёное вино. Рислинг - Цитронный Магарача — Фанагория — Белое полусухое</t>
        </is>
      </c>
      <c r="F56" t="inlineStr">
        <is>
          <t>fanagoriya-zelyonoe-vino-risling-tsitronnyy-magaracha-beloe-polusuhoe-11</t>
        </is>
      </c>
      <c r="G56" t="inlineStr">
        <is>
          <t>fanagoriya-zelyonoe-vino-risling-tsitronnyy-magaracha-merlo-rozovoe-polusuhoe-11</t>
        </is>
      </c>
      <c r="H56" t="inlineStr">
        <is>
          <t>fanagoriya-dekanter-riesling-2020-risling-reynskiy-beloe-suhoe-13</t>
        </is>
      </c>
      <c r="I56" t="inlineStr">
        <is>
          <t>fanagoriya-100-ottenkov-shardone-beloe-suhoe-14</t>
        </is>
      </c>
      <c r="J56" t="inlineStr">
        <is>
          <t>blagolyubov-stanichnoe-stanichnyy-beloe-suhoe-12</t>
        </is>
      </c>
      <c r="K56">
        <f>IF(C56="","",IFERROR(MATCH(C56,F56:J56,0),"нет"))</f>
        <v/>
      </c>
      <c r="L56">
        <f>IF(C56="","",IF(K56=1,1,0))</f>
        <v/>
      </c>
      <c r="M56">
        <f>IF(C56="","",IF(ISNUMBER(K56),1,0))</f>
        <v/>
      </c>
      <c r="N56" t="inlineStr">
        <is>
          <t>Зелёное вино. Рислинг - Цитронный Магарача — Фанагория — Белое полусухое</t>
        </is>
      </c>
      <c r="O56" t="inlineStr">
        <is>
          <t>Зелёное вино. Рислинг - Цитронный Магарача - Мерло — Фанагория — Розовое полусухое</t>
        </is>
      </c>
      <c r="P56" t="inlineStr">
        <is>
          <t>Декантер Riesling 2020 — Фанагория — Белое сухое</t>
        </is>
      </c>
      <c r="Q56" t="inlineStr">
        <is>
          <t>100 оттенков. Шардоне — Фанагория — Белое сухое</t>
        </is>
      </c>
      <c r="R56" t="inlineStr">
        <is>
          <t>Станичное — Благолюбов — Белое сухое</t>
        </is>
      </c>
      <c r="S56" s="3" t="n">
        <v>0.9999998807907104</v>
      </c>
      <c r="T56" s="3" t="n">
        <v>5.315784790127509e-08</v>
      </c>
      <c r="U56" t="n">
        <v>1363.7</v>
      </c>
    </row>
    <row r="57">
      <c r="A57" t="inlineStr">
        <is>
          <t>95.8_19-08-2026_19-33-23.webp</t>
        </is>
      </c>
      <c r="B57" t="inlineStr">
        <is>
          <t>уверенно</t>
        </is>
      </c>
      <c r="C57" t="inlineStr">
        <is>
          <t>roze-2</t>
        </is>
      </c>
      <c r="D57" t="inlineStr">
        <is>
          <t>Розе — Табия — Розовое сухое</t>
        </is>
      </c>
      <c r="F57" t="inlineStr">
        <is>
          <t>roze-2</t>
        </is>
      </c>
      <c r="G57" t="inlineStr">
        <is>
          <t>rozovoe-zoloto</t>
        </is>
      </c>
      <c r="H57" t="inlineStr">
        <is>
          <t>bukovinka</t>
        </is>
      </c>
      <c r="I57" t="inlineStr">
        <is>
          <t>rubin-golodrigi</t>
        </is>
      </c>
      <c r="J57" t="inlineStr">
        <is>
          <t>oleg</t>
        </is>
      </c>
      <c r="K57">
        <f>IF(C57="","",IFERROR(MATCH(C57,F57:J57,0),"нет"))</f>
        <v/>
      </c>
      <c r="L57">
        <f>IF(C57="","",IF(K57=1,1,0))</f>
        <v/>
      </c>
      <c r="M57">
        <f>IF(C57="","",IF(ISNUMBER(K57),1,0))</f>
        <v/>
      </c>
      <c r="N57" t="inlineStr">
        <is>
          <t>Розе — Табия — Розовое сухое</t>
        </is>
      </c>
      <c r="O57" t="inlineStr">
        <is>
          <t>Розовое золото — Табия — Розовое полусухое</t>
        </is>
      </c>
      <c r="P57" t="inlineStr">
        <is>
          <t>Буковинка — Табия — Белое полусухое</t>
        </is>
      </c>
      <c r="Q57" t="inlineStr">
        <is>
          <t>Рубин Голодриги  — Табия — Красное сухое</t>
        </is>
      </c>
      <c r="R57" t="inlineStr">
        <is>
          <t>Олег — Табия — Белое сухое</t>
        </is>
      </c>
      <c r="S57" s="3" t="n">
        <v>0.9999996423721313</v>
      </c>
      <c r="T57" s="3" t="n">
        <v>1.637376527696688e-07</v>
      </c>
      <c r="U57" t="n">
        <v>663.3</v>
      </c>
    </row>
    <row r="58">
      <c r="A58" t="inlineStr">
        <is>
          <t>95.8_19-08-2026_20-47-59.webp</t>
        </is>
      </c>
      <c r="B58" t="inlineStr">
        <is>
          <t>не уверен</t>
        </is>
      </c>
      <c r="C58" t="inlineStr">
        <is>
          <t>denisov-winery-sovinon-blan-beloe-suhoe-115</t>
        </is>
      </c>
      <c r="D58" t="inlineStr">
        <is>
          <t>Совиньон Блан — Denisov Winery — Белое сухое</t>
        </is>
      </c>
      <c r="E58" t="inlineStr">
        <is>
          <t>этикетка по цвету другая</t>
        </is>
      </c>
      <c r="F58" t="inlineStr">
        <is>
          <t>denisov-winery-sovinon-blan-beloe-suhoe-115</t>
        </is>
      </c>
      <c r="G58" t="inlineStr">
        <is>
          <t>dubinin-winery-sovinon-blan-beloe-suhoe-12</t>
        </is>
      </c>
      <c r="H58" t="inlineStr">
        <is>
          <t>sovinon-blan-krasnaya-gorka</t>
        </is>
      </c>
      <c r="I58" t="inlineStr">
        <is>
          <t>sovinon-blan</t>
        </is>
      </c>
      <c r="J58" t="inlineStr">
        <is>
          <t>blagolyubov-sovinon-blan-beloe-suhoe-125</t>
        </is>
      </c>
      <c r="K58">
        <f>IF(C58="","",IFERROR(MATCH(C58,F58:J58,0),"нет"))</f>
        <v/>
      </c>
      <c r="L58">
        <f>IF(C58="","",IF(K58=1,1,0))</f>
        <v/>
      </c>
      <c r="M58">
        <f>IF(C58="","",IF(ISNUMBER(K58),1,0))</f>
        <v/>
      </c>
      <c r="N58" t="inlineStr">
        <is>
          <t>Совиньон Блан — Denisov Winery — Белое сухое</t>
        </is>
      </c>
      <c r="O58" t="inlineStr">
        <is>
          <t>Совиньон Блан — Dubinin Winery — Белое сухое</t>
        </is>
      </c>
      <c r="P58" t="inlineStr">
        <is>
          <t>Совиньон Блан — Галицкий и Галицкий — Белое сухое</t>
        </is>
      </c>
      <c r="Q58" t="inlineStr">
        <is>
          <t>Совиньон Блан — Литавщук. Litavshchuk vineyards &amp; winery — Белое полусладкое</t>
        </is>
      </c>
      <c r="R58" t="inlineStr">
        <is>
          <t>Совиньон Блан — Благолюбов — Белое сухое</t>
        </is>
      </c>
      <c r="S58" s="3" t="n">
        <v>0.9984353184700012</v>
      </c>
      <c r="T58" s="3" t="n">
        <v>7.876979907450732e-06</v>
      </c>
      <c r="U58" t="n">
        <v>1163.2</v>
      </c>
    </row>
    <row r="59">
      <c r="A59" t="inlineStr">
        <is>
          <t>96.05_28-08-2026_09-14-57.webp</t>
        </is>
      </c>
      <c r="B59" t="inlineStr">
        <is>
          <t>нет в каталоге</t>
        </is>
      </c>
      <c r="F59" t="inlineStr">
        <is>
          <t>usadba-divnomorskoe-yuzhnyy-les-merlo-krasnoe-suhoe-137</t>
        </is>
      </c>
      <c r="G59" t="inlineStr">
        <is>
          <t>usadba-divnomorskoe-solnechnyy-veter-shardone-beloe-suhoe-125</t>
        </is>
      </c>
      <c r="H59" t="inlineStr">
        <is>
          <t>usadba-divnomorskoe-holodnyy-tuman-risling-beloe-suhoe-115</t>
        </is>
      </c>
      <c r="I59" t="inlineStr">
        <is>
          <t>usadba-divnomorskoe-solist-marselan-rozovoe-suhoe-115</t>
        </is>
      </c>
      <c r="J59" t="inlineStr">
        <is>
          <t>vinodelnya-vedernikov-vedernikov-krasnostop-zolotovskiy-magnum-krasnoe-suhoe-145</t>
        </is>
      </c>
      <c r="K59">
        <f>IF(C59="","",IFERROR(MATCH(C59,F59:J59,0),"нет"))</f>
        <v/>
      </c>
      <c r="L59">
        <f>IF(C59="","",IF(K59=1,1,0))</f>
        <v/>
      </c>
      <c r="M59">
        <f>IF(C59="","",IF(ISNUMBER(K59),1,0))</f>
        <v/>
      </c>
      <c r="N59" t="inlineStr">
        <is>
          <t>Южный Лес — Усадьба Дивноморское — Красное сухое</t>
        </is>
      </c>
      <c r="O59" t="inlineStr">
        <is>
          <t>Солнечный Ветер — Усадьба Дивноморское — Белое сухое</t>
        </is>
      </c>
      <c r="P59" t="inlineStr">
        <is>
          <t>Холодный Туман — Усадьба Дивноморское — Белое сухое</t>
        </is>
      </c>
      <c r="Q59" t="inlineStr">
        <is>
          <t>Солист — Усадьба Дивноморское — Розовое сухое</t>
        </is>
      </c>
      <c r="R59" t="inlineStr">
        <is>
          <t>Ведерниковъ Красностоп Золотовский (магнум) — Ведерниковъ — Красное сухое</t>
        </is>
      </c>
      <c r="S59" s="3" t="n">
        <v>0.9999932050704956</v>
      </c>
      <c r="T59" s="3" t="n">
        <v>5.422211415861966e-06</v>
      </c>
      <c r="U59" t="n">
        <v>1684.6</v>
      </c>
    </row>
    <row r="60">
      <c r="A60" t="inlineStr">
        <is>
          <t>96.07_28-08-2026_16-10-06.webp</t>
        </is>
      </c>
      <c r="B60" t="inlineStr">
        <is>
          <t>уверенно</t>
        </is>
      </c>
      <c r="C60" t="inlineStr">
        <is>
          <t>golubitskoe-estate-kaberne-sovinon-krasnoe-suhoe-137</t>
        </is>
      </c>
      <c r="D60" t="inlineStr">
        <is>
          <t>Каберне Совиньон — Golubitskoe Estate — Красное сухое</t>
        </is>
      </c>
      <c r="F60" t="inlineStr">
        <is>
          <t>golubitskoe-estate-kaberne-sovinon-krasnoe-suhoe-137</t>
        </is>
      </c>
      <c r="G60" t="inlineStr">
        <is>
          <t>golubitskoe-estate-red-blend-kaberne-sovinon-krasnoe-suhoe-136</t>
        </is>
      </c>
      <c r="H60" t="inlineStr">
        <is>
          <t>golubitskoe-estate-kaberne-sovinon-rezerv-krasnoe-suhoe-125</t>
        </is>
      </c>
      <c r="I60" t="inlineStr">
        <is>
          <t>pomeste-golubitskoe-kaberne-sovinon-rezerv-krasnoe-suhoe-143</t>
        </is>
      </c>
      <c r="J60" t="inlineStr">
        <is>
          <t>golubitskoe-estate-sovinon-blan-beloe-suhoe-11</t>
        </is>
      </c>
      <c r="K60">
        <f>IF(C60="","",IFERROR(MATCH(C60,F60:J60,0),"нет"))</f>
        <v/>
      </c>
      <c r="L60">
        <f>IF(C60="","",IF(K60=1,1,0))</f>
        <v/>
      </c>
      <c r="M60">
        <f>IF(C60="","",IF(ISNUMBER(K60),1,0))</f>
        <v/>
      </c>
      <c r="N60" t="inlineStr">
        <is>
          <t>Каберне Совиньон — Golubitskoe Estate — Красное сухое</t>
        </is>
      </c>
      <c r="O60" t="inlineStr">
        <is>
          <t>Red Blend — Golubitskoe Estate — Красное сухое</t>
        </is>
      </c>
      <c r="P60" t="inlineStr">
        <is>
          <t>Каберне Совиньон Резерв — Golubitskoe Estate — Красное сухое</t>
        </is>
      </c>
      <c r="Q60" t="inlineStr">
        <is>
          <t>Каберне Совиньон Резерв — Golubitskoe Estate — Красное сухое</t>
        </is>
      </c>
      <c r="R60" t="inlineStr">
        <is>
          <t>Совиньон Блан — Golubitskoe Estate — Белое сухое</t>
        </is>
      </c>
      <c r="S60" s="3" t="n">
        <v>0.9999994039535522</v>
      </c>
      <c r="T60" s="3" t="n">
        <v>1.637376101371046e-07</v>
      </c>
      <c r="U60" t="n">
        <v>1105</v>
      </c>
    </row>
    <row r="61">
      <c r="A61" t="inlineStr">
        <is>
          <t>96.08_22-08-2026_15-12-27.webp</t>
        </is>
      </c>
      <c r="B61" t="inlineStr">
        <is>
          <t>уверенно</t>
        </is>
      </c>
      <c r="C61" t="inlineStr">
        <is>
          <t>zhemchuzhnaya-9-czitron-shardone-1</t>
        </is>
      </c>
      <c r="D61" t="inlineStr">
        <is>
          <t>Жемчужная 9 Цитрон, Шардоне — АРАТТИ — Белое полусладкое</t>
        </is>
      </c>
      <c r="F61" t="inlineStr">
        <is>
          <t>zhemchuzhnaya-9-czitron-shardone-1</t>
        </is>
      </c>
      <c r="G61" t="inlineStr">
        <is>
          <t>zhemchuzhnaya-9-czitron-shardone</t>
        </is>
      </c>
      <c r="H61" t="inlineStr">
        <is>
          <t>czitronnyj-magaracha-sovinon-blan</t>
        </is>
      </c>
      <c r="I61" t="inlineStr">
        <is>
          <t>zhemchuzhnaya-9-aligote-czitron</t>
        </is>
      </c>
      <c r="J61" t="inlineStr">
        <is>
          <t>zhemchuzhnaya-9-risling-sovinon-blan</t>
        </is>
      </c>
      <c r="K61">
        <f>IF(C61="","",IFERROR(MATCH(C61,F61:J61,0),"нет"))</f>
        <v/>
      </c>
      <c r="L61">
        <f>IF(C61="","",IF(K61=1,1,0))</f>
        <v/>
      </c>
      <c r="M61">
        <f>IF(C61="","",IF(ISNUMBER(K61),1,0))</f>
        <v/>
      </c>
      <c r="N61" t="inlineStr">
        <is>
          <t>Жемчужная 9 Цитрон, Шардоне — АРАТТИ — Белое полусладкое</t>
        </is>
      </c>
      <c r="O61" t="inlineStr">
        <is>
          <t>Жемчужная 9 Цитрон, Шардоне — АРАТТИ — Белое сухое</t>
        </is>
      </c>
      <c r="P61" t="inlineStr">
        <is>
          <t>Жемчужная 9 Цитрон, Совиньон блан — АРАТТИ — Белое полусухое</t>
        </is>
      </c>
      <c r="Q61" t="inlineStr">
        <is>
          <t>Жемчужная 9 Алиготе, Цитрон — АРАТТИ — Белое сухое</t>
        </is>
      </c>
      <c r="R61" t="inlineStr">
        <is>
          <t>Жемчужная 9 Рислинг,Совиньон блан — АРАТТИ — Белое полусухое</t>
        </is>
      </c>
      <c r="S61" s="3" t="n">
        <v>0.9999998807907104</v>
      </c>
      <c r="T61" s="3" t="n">
        <v>2.510998697857758e-08</v>
      </c>
      <c r="U61" t="n">
        <v>947</v>
      </c>
    </row>
    <row r="62">
      <c r="A62" t="inlineStr">
        <is>
          <t>96.08_28-08-2026_16-29-50.webp</t>
        </is>
      </c>
      <c r="B62" t="inlineStr">
        <is>
          <t>уверенно</t>
        </is>
      </c>
      <c r="C62" t="inlineStr">
        <is>
          <t>golubitskoe-estate-merlo-krasnoe-suhoe-135</t>
        </is>
      </c>
      <c r="D62" t="inlineStr">
        <is>
          <t>Мерло — Golubitskoe Estate — Красное сухое</t>
        </is>
      </c>
      <c r="F62" t="inlineStr">
        <is>
          <t>golubitskoe-estate-merlo-krasnoe-suhoe-135</t>
        </is>
      </c>
      <c r="G62" t="inlineStr">
        <is>
          <t>golubitskoe-estate-merlo-rezerv-krasnoe-suhoe-135</t>
        </is>
      </c>
      <c r="H62" t="inlineStr">
        <is>
          <t>golubitskoe-estate-red-blend-kaberne-sovinon-krasnoe-suhoe-136</t>
        </is>
      </c>
      <c r="I62" t="inlineStr">
        <is>
          <t>golubitskoe-estate-pino-nuar-rezerv-krasnoe-suhoe-132</t>
        </is>
      </c>
      <c r="J62" t="inlineStr">
        <is>
          <t>pomeste-golubitskoe-kaberne-sovinon-rezerv-krasnoe-suhoe-143</t>
        </is>
      </c>
      <c r="K62">
        <f>IF(C62="","",IFERROR(MATCH(C62,F62:J62,0),"нет"))</f>
        <v/>
      </c>
      <c r="L62">
        <f>IF(C62="","",IF(K62=1,1,0))</f>
        <v/>
      </c>
      <c r="M62">
        <f>IF(C62="","",IF(ISNUMBER(K62),1,0))</f>
        <v/>
      </c>
      <c r="N62" t="inlineStr">
        <is>
          <t>Мерло — Golubitskoe Estate — Красное сухое</t>
        </is>
      </c>
      <c r="O62" t="inlineStr">
        <is>
          <t>Мерло Резерв — Golubitskoe Estate — Красное сухое</t>
        </is>
      </c>
      <c r="P62" t="inlineStr">
        <is>
          <t>Red Blend — Golubitskoe Estate — Красное сухое</t>
        </is>
      </c>
      <c r="Q62" t="inlineStr">
        <is>
          <t>Пино Нуар Резерв — Golubitskoe Estate — Красное сухое</t>
        </is>
      </c>
      <c r="R62" t="inlineStr">
        <is>
          <t>Каберне Совиньон Резерв — Golubitskoe Estate — Красное сухое</t>
        </is>
      </c>
      <c r="S62" s="3" t="n">
        <v>0.9999997615814209</v>
      </c>
      <c r="T62" s="3" t="n">
        <v>2.382369075348834e-07</v>
      </c>
      <c r="U62" t="n">
        <v>1118.1</v>
      </c>
    </row>
    <row r="63">
      <c r="A63" t="inlineStr">
        <is>
          <t>96.11_22-08-2026_21-29-20.webp</t>
        </is>
      </c>
      <c r="B63" t="inlineStr">
        <is>
          <t>нет в каталоге</t>
        </is>
      </c>
      <c r="F63" t="inlineStr">
        <is>
          <t>abrau-dyurso-imperatorskoe-bryut-shardone-beloe-12</t>
        </is>
      </c>
      <c r="G63" t="inlineStr">
        <is>
          <t>aristov-anima-millesimato-beloe-bryut</t>
        </is>
      </c>
      <c r="H63" t="inlineStr">
        <is>
          <t>abrau-dyurso-udelnoe-vedomstvo-imperatorskoe-beloe-bryut</t>
        </is>
      </c>
      <c r="I63" t="inlineStr">
        <is>
          <t>aristov-anima-pinot-grigio-blush</t>
        </is>
      </c>
      <c r="J63" t="inlineStr">
        <is>
          <t>abrau-dyurso-imperial-brut-vintage-shardone-beloe-bryut-12</t>
        </is>
      </c>
      <c r="K63">
        <f>IF(C63="","",IFERROR(MATCH(C63,F63:J63,0),"нет"))</f>
        <v/>
      </c>
      <c r="L63">
        <f>IF(C63="","",IF(K63=1,1,0))</f>
        <v/>
      </c>
      <c r="M63">
        <f>IF(C63="","",IF(ISNUMBER(K63),1,0))</f>
        <v/>
      </c>
      <c r="N63" t="inlineStr">
        <is>
          <t>Императорское брют — Абрау-Дюрсо — Белое брют</t>
        </is>
      </c>
      <c r="O63" t="inlineStr">
        <is>
          <t>Аристов ANIMA Millesimato белое брют — Кубань-Вино — Белое брют</t>
        </is>
      </c>
      <c r="P63" t="inlineStr">
        <is>
          <t>Абрау Дюрсо Удельное Ведомство Императорское белое брют — Абрау-Дюрсо — Белое брют</t>
        </is>
      </c>
      <c r="Q63" t="inlineStr">
        <is>
          <t>Аристов Anima Pinot Grigio Blush — Кубань-Вино — Розовое брют</t>
        </is>
      </c>
      <c r="R63" t="inlineStr">
        <is>
          <t>Империал. Brut Vintage — Абрау-Дюрсо — Белое брют</t>
        </is>
      </c>
      <c r="S63" s="3" t="n">
        <v>0.3911535143852234</v>
      </c>
      <c r="T63" s="3" t="n">
        <v>0.08727815002202988</v>
      </c>
      <c r="U63" t="n">
        <v>1314.4</v>
      </c>
    </row>
    <row r="64">
      <c r="A64" t="inlineStr">
        <is>
          <t>96.13_19-08-2026_19-33-10.webp</t>
        </is>
      </c>
      <c r="B64" t="inlineStr">
        <is>
          <t>уверенно</t>
        </is>
      </c>
      <c r="C64" t="inlineStr">
        <is>
          <t>roze-2</t>
        </is>
      </c>
      <c r="D64" t="inlineStr">
        <is>
          <t>Розе — Табия — Розовое сухое</t>
        </is>
      </c>
      <c r="F64" t="inlineStr">
        <is>
          <t>roze-2</t>
        </is>
      </c>
      <c r="G64" t="inlineStr">
        <is>
          <t>rozovoe-zoloto</t>
        </is>
      </c>
      <c r="H64" t="inlineStr">
        <is>
          <t>kaberne-sovinon-2</t>
        </is>
      </c>
      <c r="I64" t="inlineStr">
        <is>
          <t>oleg</t>
        </is>
      </c>
      <c r="J64" t="inlineStr">
        <is>
          <t>bukovinka</t>
        </is>
      </c>
      <c r="K64">
        <f>IF(C64="","",IFERROR(MATCH(C64,F64:J64,0),"нет"))</f>
        <v/>
      </c>
      <c r="L64">
        <f>IF(C64="","",IF(K64=1,1,0))</f>
        <v/>
      </c>
      <c r="M64">
        <f>IF(C64="","",IF(ISNUMBER(K64),1,0))</f>
        <v/>
      </c>
      <c r="N64" t="inlineStr">
        <is>
          <t>Розе — Табия — Розовое сухое</t>
        </is>
      </c>
      <c r="O64" t="inlineStr">
        <is>
          <t>Розовое золото — Табия — Розовое полусухое</t>
        </is>
      </c>
      <c r="P64" t="inlineStr">
        <is>
          <t>Каберне Совиньон — Табия — Красное сухое</t>
        </is>
      </c>
      <c r="Q64" t="inlineStr">
        <is>
          <t>Олег — Табия — Белое сухое</t>
        </is>
      </c>
      <c r="R64" t="inlineStr">
        <is>
          <t>Буковинка — Табия — Белое полусухое</t>
        </is>
      </c>
      <c r="S64" s="3" t="n">
        <v>0.9999986886978149</v>
      </c>
      <c r="T64" s="3" t="n">
        <v>3.466323050815845e-07</v>
      </c>
      <c r="U64" t="n">
        <v>646.1</v>
      </c>
    </row>
    <row r="65">
      <c r="A65" t="inlineStr">
        <is>
          <t>96.15_22-08-2026_20-56-09.webp</t>
        </is>
      </c>
      <c r="B65" t="inlineStr">
        <is>
          <t>уверенно</t>
        </is>
      </c>
      <c r="C65" t="inlineStr">
        <is>
          <t>roze-2</t>
        </is>
      </c>
      <c r="D65" t="inlineStr">
        <is>
          <t>Розе — Табия — Розовое сухое</t>
        </is>
      </c>
      <c r="F65" t="inlineStr">
        <is>
          <t>roze-2</t>
        </is>
      </c>
      <c r="G65" t="inlineStr">
        <is>
          <t>rozovoe-zoloto</t>
        </is>
      </c>
      <c r="H65" t="inlineStr">
        <is>
          <t>bukovinka</t>
        </is>
      </c>
      <c r="I65" t="inlineStr">
        <is>
          <t>rubin-golodrigi</t>
        </is>
      </c>
      <c r="J65" t="inlineStr">
        <is>
          <t>oleg</t>
        </is>
      </c>
      <c r="K65">
        <f>IF(C65="","",IFERROR(MATCH(C65,F65:J65,0),"нет"))</f>
        <v/>
      </c>
      <c r="L65">
        <f>IF(C65="","",IF(K65=1,1,0))</f>
        <v/>
      </c>
      <c r="M65">
        <f>IF(C65="","",IF(ISNUMBER(K65),1,0))</f>
        <v/>
      </c>
      <c r="N65" t="inlineStr">
        <is>
          <t>Розе — Табия — Розовое сухое</t>
        </is>
      </c>
      <c r="O65" t="inlineStr">
        <is>
          <t>Розовое золото — Табия — Розовое полусухое</t>
        </is>
      </c>
      <c r="P65" t="inlineStr">
        <is>
          <t>Буковинка — Табия — Белое полусухое</t>
        </is>
      </c>
      <c r="Q65" t="inlineStr">
        <is>
          <t>Рубин Голодриги  — Табия — Красное сухое</t>
        </is>
      </c>
      <c r="R65" t="inlineStr">
        <is>
          <t>Олег — Табия — Белое сухое</t>
        </is>
      </c>
      <c r="S65" s="3" t="n">
        <v>0.9999995231628418</v>
      </c>
      <c r="T65" s="3" t="n">
        <v>1.855390650007394e-07</v>
      </c>
      <c r="U65" t="n">
        <v>716.6</v>
      </c>
    </row>
    <row r="66">
      <c r="A66" t="inlineStr">
        <is>
          <t>96.27_20-08-2026_16-26-30.webp</t>
        </is>
      </c>
      <c r="B66" t="inlineStr">
        <is>
          <t>уверенно</t>
        </is>
      </c>
      <c r="C66" t="inlineStr">
        <is>
          <t>zhemchuzhnaya-9-pino-nuar-muskat-rozovyj-1</t>
        </is>
      </c>
      <c r="D66" t="inlineStr">
        <is>
          <t>Жемчужная 9 Пино Нуар, Мускат розовый — АРАТТИ — Розовое полусухое</t>
        </is>
      </c>
      <c r="F66" t="inlineStr">
        <is>
          <t>zhemchuzhnaya-9-pino-nuar-muskat-rozovyj-2</t>
        </is>
      </c>
      <c r="G66" t="inlineStr">
        <is>
          <t>zhemchuzhnaya-9-pino-nuar-muskat-rozovyj-1</t>
        </is>
      </c>
      <c r="H66" t="inlineStr">
        <is>
          <t>zhemchuzhnaya-9-pino-nuar-muskat-rozovyj</t>
        </is>
      </c>
      <c r="I66" t="inlineStr">
        <is>
          <t>zhemchuzhnaya-9-muskat-rozovyj-pino-gri</t>
        </is>
      </c>
      <c r="J66" t="inlineStr">
        <is>
          <t>zhemchuzhnaya-9-muskat-rozovyj-kaberne-sovinon</t>
        </is>
      </c>
      <c r="K66">
        <f>IF(C66="","",IFERROR(MATCH(C66,F66:J66,0),"нет"))</f>
        <v/>
      </c>
      <c r="L66">
        <f>IF(C66="","",IF(K66=1,1,0))</f>
        <v/>
      </c>
      <c r="M66">
        <f>IF(C66="","",IF(ISNUMBER(K66),1,0))</f>
        <v/>
      </c>
      <c r="N66" t="inlineStr">
        <is>
          <t>Жемчужная 9 Пино нуар, Мускат Розовый — АРАТТИ — Розовое полусладкое</t>
        </is>
      </c>
      <c r="O66" t="inlineStr">
        <is>
          <t>Жемчужная 9 Пино Нуар, Мускат розовый — АРАТТИ — Розовое полусухое</t>
        </is>
      </c>
      <c r="P66" t="inlineStr">
        <is>
          <t>Жемчужная 9 Пино Нуар, Мускат Розовый — АРАТТИ — Розовое сухое</t>
        </is>
      </c>
      <c r="Q66" t="inlineStr">
        <is>
          <t>Жемчужная 9 Мускат Розовый, Пино гри — АРАТТИ — Розовое сухое</t>
        </is>
      </c>
      <c r="R66" t="inlineStr">
        <is>
          <t>Жемчужная 9 Мускат Розовый, Каберне Совиньон — АРАТТИ — Розовое полусладкое</t>
        </is>
      </c>
      <c r="S66" s="3" t="n">
        <v>0.9820134043693542</v>
      </c>
      <c r="T66" s="3" t="n">
        <v>4.065474357162202e-08</v>
      </c>
      <c r="U66" t="n">
        <v>936.9</v>
      </c>
    </row>
    <row r="67">
      <c r="A67" t="inlineStr">
        <is>
          <t>96.29_21-08-2026_19-39-02.webp</t>
        </is>
      </c>
      <c r="B67" t="inlineStr">
        <is>
          <t>не уверен</t>
        </is>
      </c>
      <c r="C67" t="inlineStr">
        <is>
          <t>denisov-winery-sovinon-blan-beloe-suhoe-115</t>
        </is>
      </c>
      <c r="D67" t="inlineStr">
        <is>
          <t>Совиньон Блан — Denisov Winery — Белое сухое</t>
        </is>
      </c>
      <c r="E67" t="inlineStr">
        <is>
          <t>этикетка немного другая. в slug черная, а на фото белая</t>
        </is>
      </c>
      <c r="F67" t="inlineStr">
        <is>
          <t>denisov-winery-sovinon-blan-beloe-suhoe-115</t>
        </is>
      </c>
      <c r="G67" t="inlineStr">
        <is>
          <t>dubinin-winery-sovinon-blan-beloe-suhoe-12</t>
        </is>
      </c>
      <c r="H67" t="inlineStr">
        <is>
          <t>zhemchuzhnaya-9-sovinon-blan-aligote</t>
        </is>
      </c>
      <c r="I67" t="inlineStr">
        <is>
          <t>blagolyubov-sovinon-blan-beloe-suhoe-125</t>
        </is>
      </c>
      <c r="J67" t="inlineStr">
        <is>
          <t>vinodelnya-myshako-sovinon-blan-avtorskaya-tehnologiya-mono-beloe-suhoe-128</t>
        </is>
      </c>
      <c r="K67">
        <f>IF(C67="","",IFERROR(MATCH(C67,F67:J67,0),"нет"))</f>
        <v/>
      </c>
      <c r="L67">
        <f>IF(C67="","",IF(K67=1,1,0))</f>
        <v/>
      </c>
      <c r="M67">
        <f>IF(C67="","",IF(ISNUMBER(K67),1,0))</f>
        <v/>
      </c>
      <c r="N67" t="inlineStr">
        <is>
          <t>Совиньон Блан — Denisov Winery — Белое сухое</t>
        </is>
      </c>
      <c r="O67" t="inlineStr">
        <is>
          <t>Совиньон Блан — Dubinin Winery — Белое сухое</t>
        </is>
      </c>
      <c r="P67" t="inlineStr">
        <is>
          <t>Жемчужная 9 Совиньон блан, Алиготе — АРАТТИ — Белое сухое</t>
        </is>
      </c>
      <c r="Q67" t="inlineStr">
        <is>
          <t>Совиньон Блан — Благолюбов — Белое сухое</t>
        </is>
      </c>
      <c r="R67" t="inlineStr">
        <is>
          <t>Совиньон Блан. Авторская технология. Моно — Мысхако — Белое сухое</t>
        </is>
      </c>
      <c r="S67" s="3" t="n">
        <v>0.9999998807907104</v>
      </c>
      <c r="T67" s="3" t="n">
        <v>8.764247638737288e-08</v>
      </c>
      <c r="U67" t="n">
        <v>947.5</v>
      </c>
    </row>
    <row r="68">
      <c r="A68" t="inlineStr">
        <is>
          <t>96.2_28-08-2026_09-13-27.webp</t>
        </is>
      </c>
      <c r="B68" t="inlineStr">
        <is>
          <t>нет в каталоге</t>
        </is>
      </c>
      <c r="F68" t="inlineStr">
        <is>
          <t>usadba-divnomorskoe-yuzhnyy-les-merlo-krasnoe-suhoe-137</t>
        </is>
      </c>
      <c r="G68" t="inlineStr">
        <is>
          <t>usadba-divnomorskoe-solnechnyy-veter-shardone-beloe-suhoe-125</t>
        </is>
      </c>
      <c r="H68" t="inlineStr">
        <is>
          <t>usadba-divnomorskoe-holodnyy-tuman-risling-beloe-suhoe-115</t>
        </is>
      </c>
      <c r="I68" t="inlineStr">
        <is>
          <t>usadba-divnomorskoe-solist-marselan-rozovoe-suhoe-115</t>
        </is>
      </c>
      <c r="J68" t="inlineStr">
        <is>
          <t>vinodelnya-vedernikov-vedernikov-tsimlyanskiy-chyornyy-tsimlyanskiy-chernyy-krasnoe-suhoe-14</t>
        </is>
      </c>
      <c r="K68">
        <f>IF(C68="","",IFERROR(MATCH(C68,F68:J68,0),"нет"))</f>
        <v/>
      </c>
      <c r="L68">
        <f>IF(C68="","",IF(K68=1,1,0))</f>
        <v/>
      </c>
      <c r="M68">
        <f>IF(C68="","",IF(ISNUMBER(K68),1,0))</f>
        <v/>
      </c>
      <c r="N68" t="inlineStr">
        <is>
          <t>Южный Лес — Усадьба Дивноморское — Красное сухое</t>
        </is>
      </c>
      <c r="O68" t="inlineStr">
        <is>
          <t>Солнечный Ветер — Усадьба Дивноморское — Белое сухое</t>
        </is>
      </c>
      <c r="P68" t="inlineStr">
        <is>
          <t>Холодный Туман — Усадьба Дивноморское — Белое сухое</t>
        </is>
      </c>
      <c r="Q68" t="inlineStr">
        <is>
          <t>Солист — Усадьба Дивноморское — Розовое сухое</t>
        </is>
      </c>
      <c r="R68" t="inlineStr">
        <is>
          <t>Ведерниковъ Цимлянский Чёрный — Ведерниковъ — Красное сухое</t>
        </is>
      </c>
      <c r="S68" s="3" t="n">
        <v>0.9999934434890747</v>
      </c>
      <c r="T68" s="3" t="n">
        <v>5.422212780104019e-06</v>
      </c>
      <c r="U68" t="n">
        <v>1565</v>
      </c>
    </row>
    <row r="69">
      <c r="A69" t="inlineStr">
        <is>
          <t>96.2_28-08-2026_19-25-29.webp</t>
        </is>
      </c>
      <c r="B69" t="inlineStr">
        <is>
          <t>нет в каталоге</t>
        </is>
      </c>
      <c r="F69" t="inlineStr">
        <is>
          <t>novyy-svet-dom-shampanskih-vin-rossiyskoe-shampanskoe-kollektsionnoe-bryut-beloe-novyy-svet-yubileynoe-risling-13</t>
        </is>
      </c>
      <c r="G69" t="inlineStr">
        <is>
          <t>derbent-vino-graf-vorontsov-bryut-beloe-sovinon-blan-105-125</t>
        </is>
      </c>
      <c r="H69" t="inlineStr">
        <is>
          <t>derbent-vino-graf-vorontsov-bryut-rozovoe-pervenets-magaracha-105-125</t>
        </is>
      </c>
      <c r="I69" t="inlineStr">
        <is>
          <t>novyy-svet-dom-shampanskih-vin-rossiyskoe-shampanskoe-kollektsionnoe-bryut-beloe-novyy-svet-zolotoy-risling-suhoe-13</t>
        </is>
      </c>
      <c r="J69" t="inlineStr">
        <is>
          <t>derbent-vino-graf-vorontsov-beloe-polusladkoe-sovinon-blan-105-125</t>
        </is>
      </c>
      <c r="K69">
        <f>IF(C69="","",IFERROR(MATCH(C69,F69:J69,0),"нет"))</f>
        <v/>
      </c>
      <c r="L69">
        <f>IF(C69="","",IF(K69=1,1,0))</f>
        <v/>
      </c>
      <c r="M69">
        <f>IF(C69="","",IF(ISNUMBER(K69),1,0))</f>
        <v/>
      </c>
      <c r="N69" t="inlineStr">
        <is>
          <t>Российское шампанское коллекционное брют белое «Новый Свет. Юбилейное» — Новый Свет. Дом шампанских вин — Белое брют</t>
        </is>
      </c>
      <c r="O69" t="inlineStr">
        <is>
          <t>Граф Воронцов. Брют белое — Дербент Вино — Белое брют</t>
        </is>
      </c>
      <c r="P69" t="inlineStr">
        <is>
          <t>Граф Воронцов. Брют розовое — Дербент Вино — Розовое брют</t>
        </is>
      </c>
      <c r="Q69" t="inlineStr">
        <is>
          <t>Российское шампанское коллекционное брют белое «Новый Свет. Золотой Рислинг» — Новый Свет. Дом шампанских вин — Белое сухое</t>
        </is>
      </c>
      <c r="R69" t="inlineStr">
        <is>
          <t>Граф Воронцов. Белое полусладкое — Дербент Вино — Белое полусладкое</t>
        </is>
      </c>
      <c r="S69" s="3" t="n">
        <v>0.1098318621516228</v>
      </c>
      <c r="T69" s="3" t="n">
        <v>0.8115537762641907</v>
      </c>
      <c r="U69" t="n">
        <v>1831.9</v>
      </c>
    </row>
    <row r="70">
      <c r="A70" t="inlineStr">
        <is>
          <t>96.31_09-09-2026_19-29-01.webp</t>
        </is>
      </c>
      <c r="B70" t="inlineStr">
        <is>
          <t>уверенно</t>
        </is>
      </c>
      <c r="C70" t="inlineStr">
        <is>
          <t>aratti-kaberne-po-belomu</t>
        </is>
      </c>
      <c r="D70" t="inlineStr">
        <is>
          <t>АРАТТИ Каберне по-белому — АРАТТИ — Красное сухое</t>
        </is>
      </c>
      <c r="F70" t="inlineStr">
        <is>
          <t>aratti-kaberne-po-belomu-1</t>
        </is>
      </c>
      <c r="G70" t="inlineStr">
        <is>
          <t>aratti-kaberne-po-belomu</t>
        </is>
      </c>
      <c r="H70" t="inlineStr">
        <is>
          <t>aratti-vremena-goda-saperavi-leto</t>
        </is>
      </c>
      <c r="I70" t="inlineStr">
        <is>
          <t>aratti-kaberne-sovinon-2021-krasnoe-suhoe</t>
        </is>
      </c>
      <c r="J70" t="inlineStr">
        <is>
          <t>aratti-kaberne-sovinon-2020-krasnoe-suhoe</t>
        </is>
      </c>
      <c r="K70">
        <f>IF(C70="","",IFERROR(MATCH(C70,F70:J70,0),"нет"))</f>
        <v/>
      </c>
      <c r="L70">
        <f>IF(C70="","",IF(K70=1,1,0))</f>
        <v/>
      </c>
      <c r="M70">
        <f>IF(C70="","",IF(ISNUMBER(K70),1,0))</f>
        <v/>
      </c>
      <c r="N70" t="inlineStr">
        <is>
          <t>АРАТТИ Каберне по-белому — АРАТТИ — Розовое полусухое</t>
        </is>
      </c>
      <c r="O70" t="inlineStr">
        <is>
          <t>АРАТТИ Каберне по-белому — АРАТТИ — Красное сухое</t>
        </is>
      </c>
      <c r="P70" t="inlineStr">
        <is>
          <t>АРАТТИ Времена Года Саперави Лето — АРАТТИ — Красное сухое</t>
        </is>
      </c>
      <c r="Q70" t="inlineStr">
        <is>
          <t>АРАТТИ Каберне Совиньон 2021 красное сухое — АРАТТИ — Красное сухое</t>
        </is>
      </c>
      <c r="R70" t="inlineStr">
        <is>
          <t>АРАТТИ Каберне Совиньон 2020 красное сухое — АРАТТИ — Красное сухое</t>
        </is>
      </c>
      <c r="S70" s="3" t="n">
        <v>0.9999997615814209</v>
      </c>
      <c r="T70" s="3" t="n">
        <v>5.315784079584773e-08</v>
      </c>
      <c r="U70" t="n">
        <v>878</v>
      </c>
    </row>
    <row r="71">
      <c r="A71" t="inlineStr">
        <is>
          <t>96.31_21-08-2026_17-24-55.webp</t>
        </is>
      </c>
      <c r="B71" t="inlineStr">
        <is>
          <t>уверенно</t>
        </is>
      </c>
      <c r="C71" t="inlineStr">
        <is>
          <t>bukovinka</t>
        </is>
      </c>
      <c r="D71" t="inlineStr">
        <is>
          <t>Буковинка — Табия — Белое полусухое</t>
        </is>
      </c>
      <c r="F71" t="inlineStr">
        <is>
          <t>bukovinka</t>
        </is>
      </c>
      <c r="G71" t="inlineStr">
        <is>
          <t>rubin-golodrigi</t>
        </is>
      </c>
      <c r="H71" t="inlineStr">
        <is>
          <t>oleg</t>
        </is>
      </c>
      <c r="I71" t="inlineStr">
        <is>
          <t>kaberne-sovinon-2</t>
        </is>
      </c>
      <c r="J71" t="inlineStr">
        <is>
          <t>rozovoe-zoloto</t>
        </is>
      </c>
      <c r="K71">
        <f>IF(C71="","",IFERROR(MATCH(C71,F71:J71,0),"нет"))</f>
        <v/>
      </c>
      <c r="L71">
        <f>IF(C71="","",IF(K71=1,1,0))</f>
        <v/>
      </c>
      <c r="M71">
        <f>IF(C71="","",IF(ISNUMBER(K71),1,0))</f>
        <v/>
      </c>
      <c r="N71" t="inlineStr">
        <is>
          <t>Буковинка — Табия — Белое полусухое</t>
        </is>
      </c>
      <c r="O71" t="inlineStr">
        <is>
          <t>Рубин Голодриги  — Табия — Красное сухое</t>
        </is>
      </c>
      <c r="P71" t="inlineStr">
        <is>
          <t>Олег — Табия — Белое сухое</t>
        </is>
      </c>
      <c r="Q71" t="inlineStr">
        <is>
          <t>Каберне Совиньон — Табия — Красное сухое</t>
        </is>
      </c>
      <c r="R71" t="inlineStr">
        <is>
          <t>Розовое золото — Табия — Розовое полусухое</t>
        </is>
      </c>
      <c r="S71" s="3" t="n">
        <v>0.9999997615814209</v>
      </c>
      <c r="T71" s="3" t="n">
        <v>1.275190300020768e-07</v>
      </c>
      <c r="U71" t="n">
        <v>694.9</v>
      </c>
    </row>
    <row r="72">
      <c r="A72" t="inlineStr">
        <is>
          <t>96.3_08-09-2026_10-53-14.webp</t>
        </is>
      </c>
      <c r="B72" t="inlineStr">
        <is>
          <t>нет в каталоге</t>
        </is>
      </c>
      <c r="F72" t="inlineStr">
        <is>
          <t>fanagoriya-zelyonoe-vino-risling-tsitronnyy-magaracha-beloe-polusuhoe-11</t>
        </is>
      </c>
      <c r="G72" t="inlineStr">
        <is>
          <t>fanagoriya-beloe-polusladkoe</t>
        </is>
      </c>
      <c r="H72" t="inlineStr">
        <is>
          <t>fanagoriya-zelyonoe-vino-risling-tsitronnyy-magaracha-merlo-rozovoe-polusuhoe-11</t>
        </is>
      </c>
      <c r="I72" t="inlineStr">
        <is>
          <t>fanagoriya-ona-skazala-da-beloe-polusladkoe</t>
        </is>
      </c>
      <c r="J72" t="inlineStr">
        <is>
          <t>rozovoe-polusladkoe</t>
        </is>
      </c>
      <c r="K72">
        <f>IF(C72="","",IFERROR(MATCH(C72,F72:J72,0),"нет"))</f>
        <v/>
      </c>
      <c r="L72">
        <f>IF(C72="","",IF(K72=1,1,0))</f>
        <v/>
      </c>
      <c r="M72">
        <f>IF(C72="","",IF(ISNUMBER(K72),1,0))</f>
        <v/>
      </c>
      <c r="N72" t="inlineStr">
        <is>
          <t>Зелёное вино. Рислинг - Цитронный Магарача — Фанагория — Белое полусухое</t>
        </is>
      </c>
      <c r="O72" t="inlineStr">
        <is>
          <t>Фанагория белое полусладкое — Фанагория — Белое полусладкое</t>
        </is>
      </c>
      <c r="P72" t="inlineStr">
        <is>
          <t>Зелёное вино. Рислинг - Цитронный Магарача - Мерло — Фанагория — Розовое полусухое</t>
        </is>
      </c>
      <c r="Q72" t="inlineStr">
        <is>
          <t>Фанагория Она сказала Да! белое полусладкое — Фанагория — Белое полусладкое</t>
        </is>
      </c>
      <c r="R72" t="inlineStr">
        <is>
          <t>Розовое полусладкое — Фанагория — Розовое полусладкое</t>
        </is>
      </c>
      <c r="S72" s="3" t="n">
        <v>0.795357882976532</v>
      </c>
      <c r="T72" s="3" t="n">
        <v>0.0001260334684047848</v>
      </c>
      <c r="U72" t="n">
        <v>1085.3</v>
      </c>
    </row>
    <row r="73">
      <c r="A73" t="inlineStr">
        <is>
          <t>96.3_28-08-2026_09-12-56.webp</t>
        </is>
      </c>
      <c r="B73" t="inlineStr">
        <is>
          <t>нет в каталоге</t>
        </is>
      </c>
      <c r="F73" t="inlineStr">
        <is>
          <t>usadba-divnomorskoe-yuzhnyy-les-merlo-krasnoe-suhoe-137</t>
        </is>
      </c>
      <c r="G73" t="inlineStr">
        <is>
          <t>usadba-divnomorskoe-solist-marselan-rozovoe-suhoe-115</t>
        </is>
      </c>
      <c r="H73" t="inlineStr">
        <is>
          <t>usadba-divnomorskoe-holodnyy-tuman-risling-beloe-suhoe-115</t>
        </is>
      </c>
      <c r="I73" t="inlineStr">
        <is>
          <t>usadba-divnomorskoe-solnechnyy-veter-shardone-beloe-suhoe-125</t>
        </is>
      </c>
      <c r="J73" t="inlineStr">
        <is>
          <t>vinodelnya-vedernikov-vedernikov-krasnostop-zolotovskiy-magnum-krasnoe-suhoe-145</t>
        </is>
      </c>
      <c r="K73">
        <f>IF(C73="","",IFERROR(MATCH(C73,F73:J73,0),"нет"))</f>
        <v/>
      </c>
      <c r="L73">
        <f>IF(C73="","",IF(K73=1,1,0))</f>
        <v/>
      </c>
      <c r="M73">
        <f>IF(C73="","",IF(ISNUMBER(K73),1,0))</f>
        <v/>
      </c>
      <c r="N73" t="inlineStr">
        <is>
          <t>Южный Лес — Усадьба Дивноморское — Красное сухое</t>
        </is>
      </c>
      <c r="O73" t="inlineStr">
        <is>
          <t>Солист — Усадьба Дивноморское — Розовое сухое</t>
        </is>
      </c>
      <c r="P73" t="inlineStr">
        <is>
          <t>Холодный Туман — Усадьба Дивноморское — Белое сухое</t>
        </is>
      </c>
      <c r="Q73" t="inlineStr">
        <is>
          <t>Солнечный Ветер — Усадьба Дивноморское — Белое сухое</t>
        </is>
      </c>
      <c r="R73" t="inlineStr">
        <is>
          <t>Ведерниковъ Красностоп Золотовский (магнум) — Ведерниковъ — Красное сухое</t>
        </is>
      </c>
      <c r="S73" s="3" t="n">
        <v>0.9999912977218628</v>
      </c>
      <c r="T73" s="3" t="n">
        <v>6.144158760434948e-06</v>
      </c>
      <c r="U73" t="n">
        <v>1516.4</v>
      </c>
    </row>
    <row r="74">
      <c r="A74" t="inlineStr">
        <is>
          <t>96.42_22-08-2026_21-29-43.webp</t>
        </is>
      </c>
      <c r="B74" t="inlineStr">
        <is>
          <t>нет в каталоге</t>
        </is>
      </c>
      <c r="F74" t="inlineStr">
        <is>
          <t>aristov-anima-millesimato-beloe-bryut</t>
        </is>
      </c>
      <c r="G74" t="inlineStr">
        <is>
          <t>abrau-dyurso-udelnoe-vedomstvo-imperatorskoe-beloe-bryut</t>
        </is>
      </c>
      <c r="H74" t="inlineStr">
        <is>
          <t>aristov-anima-pinot-grigio-blush</t>
        </is>
      </c>
      <c r="I74" t="inlineStr">
        <is>
          <t>abrau-dyurso-imperatorskoe-bryut-shardone-beloe-12</t>
        </is>
      </c>
      <c r="J74" t="inlineStr">
        <is>
          <t>abrau-dyurso-imperial-brut-vintage-shardone-beloe-bryut-12</t>
        </is>
      </c>
      <c r="K74">
        <f>IF(C74="","",IFERROR(MATCH(C74,F74:J74,0),"нет"))</f>
        <v/>
      </c>
      <c r="L74">
        <f>IF(C74="","",IF(K74=1,1,0))</f>
        <v/>
      </c>
      <c r="M74">
        <f>IF(C74="","",IF(ISNUMBER(K74),1,0))</f>
        <v/>
      </c>
      <c r="N74" t="inlineStr">
        <is>
          <t>Аристов ANIMA Millesimato белое брют — Кубань-Вино — Белое брют</t>
        </is>
      </c>
      <c r="O74" t="inlineStr">
        <is>
          <t>Абрау Дюрсо Удельное Ведомство Императорское белое брют — Абрау-Дюрсо — Белое брют</t>
        </is>
      </c>
      <c r="P74" t="inlineStr">
        <is>
          <t>Аристов Anima Pinot Grigio Blush — Кубань-Вино — Розовое брют</t>
        </is>
      </c>
      <c r="Q74" t="inlineStr">
        <is>
          <t>Императорское брют — Абрау-Дюрсо — Белое брют</t>
        </is>
      </c>
      <c r="R74" t="inlineStr">
        <is>
          <t>Империал. Brut Vintage — Абрау-Дюрсо — Белое брют</t>
        </is>
      </c>
      <c r="S74" s="3" t="n">
        <v>0.1085186675190926</v>
      </c>
      <c r="T74" s="3" t="n">
        <v>0.8018504977226257</v>
      </c>
      <c r="U74" t="n">
        <v>1107.4</v>
      </c>
    </row>
    <row r="75">
      <c r="A75" t="inlineStr">
        <is>
          <t>96.44_05-09-2026_15-33-59.webp</t>
        </is>
      </c>
      <c r="B75" t="inlineStr">
        <is>
          <t>уверенно</t>
        </is>
      </c>
      <c r="C75" t="inlineStr">
        <is>
          <t>sovinon-blan</t>
        </is>
      </c>
      <c r="D75" t="inlineStr">
        <is>
          <t>Совиньон Блан — Литавщук. Litavshchuk vineyards &amp; winery — Белое полусладкое</t>
        </is>
      </c>
      <c r="F75" t="inlineStr">
        <is>
          <t>sovinon-blan</t>
        </is>
      </c>
      <c r="G75" t="inlineStr">
        <is>
          <t>risling-2</t>
        </is>
      </c>
      <c r="H75" t="inlineStr">
        <is>
          <t>blagolyubov-sovinon-blan-beloe-suhoe-125</t>
        </is>
      </c>
      <c r="I75" t="inlineStr">
        <is>
          <t>dubinin-winery-sovinon-blan-beloe-suhoe-12</t>
        </is>
      </c>
      <c r="J75" t="inlineStr">
        <is>
          <t>domashnyaya-gorka</t>
        </is>
      </c>
      <c r="K75">
        <f>IF(C75="","",IFERROR(MATCH(C75,F75:J75,0),"нет"))</f>
        <v/>
      </c>
      <c r="L75">
        <f>IF(C75="","",IF(K75=1,1,0))</f>
        <v/>
      </c>
      <c r="M75">
        <f>IF(C75="","",IF(ISNUMBER(K75),1,0))</f>
        <v/>
      </c>
      <c r="N75" t="inlineStr">
        <is>
          <t>Совиньон Блан — Литавщук. Litavshchuk vineyards &amp; winery — Белое полусладкое</t>
        </is>
      </c>
      <c r="O75" t="inlineStr">
        <is>
          <t>Рислинг  — Литавщук. Litavshchuk vineyards &amp; winery — Белое полусухое</t>
        </is>
      </c>
      <c r="P75" t="inlineStr">
        <is>
          <t>Совиньон Блан — Благолюбов — Белое сухое</t>
        </is>
      </c>
      <c r="Q75" t="inlineStr">
        <is>
          <t>Совиньон Блан — Dubinin Winery — Белое сухое</t>
        </is>
      </c>
      <c r="R75" t="inlineStr">
        <is>
          <t>Домашняя горка  — Литавщук. Litavshchuk vineyards &amp; winery — Белое полусладкое</t>
        </is>
      </c>
      <c r="S75" s="3" t="n">
        <v>0.9999998807907104</v>
      </c>
      <c r="T75" s="3" t="n">
        <v>2.215948846640003e-08</v>
      </c>
      <c r="U75" t="n">
        <v>1652.1</v>
      </c>
    </row>
    <row r="76">
      <c r="A76" t="inlineStr">
        <is>
          <t>96.45_02-09-2026_14-19-06.webp</t>
        </is>
      </c>
      <c r="B76" t="inlineStr">
        <is>
          <t>нет в каталоге</t>
        </is>
      </c>
      <c r="F76" t="inlineStr">
        <is>
          <t>abrau-dyurso-russkoe-igristoe-polusuhoe-shardone-beloe-12</t>
        </is>
      </c>
      <c r="G76" t="inlineStr">
        <is>
          <t>abrau-dyurso-russkoe-igristoe-polusladkoe-shardone-beloe-12</t>
        </is>
      </c>
      <c r="H76" t="inlineStr">
        <is>
          <t>abrau-dyurso-imperial-brut-rose-pino-nuar-rozovoe-bryut-12</t>
        </is>
      </c>
      <c r="I76" t="inlineStr">
        <is>
          <t>abrau-dyurso-russkoe-igristoe-koshernoe-polusladkoe-shardone-beloe-12</t>
        </is>
      </c>
      <c r="J76" t="inlineStr">
        <is>
          <t>abrau-dyurso-russkoe-igristoe-polusladkoe-krasnoe-kaberne-sovinon-12</t>
        </is>
      </c>
      <c r="K76">
        <f>IF(C76="","",IFERROR(MATCH(C76,F76:J76,0),"нет"))</f>
        <v/>
      </c>
      <c r="L76">
        <f>IF(C76="","",IF(K76=1,1,0))</f>
        <v/>
      </c>
      <c r="M76">
        <f>IF(C76="","",IF(ISNUMBER(K76),1,0))</f>
        <v/>
      </c>
      <c r="N76" t="inlineStr">
        <is>
          <t>Русское Игристое полусухое — Абрау-Дюрсо — Белое полусухое</t>
        </is>
      </c>
      <c r="O76" t="inlineStr">
        <is>
          <t>Русское Игристое полусладкое — Абрау-Дюрсо — Белое полусладкое</t>
        </is>
      </c>
      <c r="P76" t="inlineStr">
        <is>
          <t>Империал Brut Rose — Абрау-Дюрсо — Розовое брют</t>
        </is>
      </c>
      <c r="Q76" t="inlineStr">
        <is>
          <t>Русское Игристое кошерное полусладкое — Абрау-Дюрсо — Белое полусладкое</t>
        </is>
      </c>
      <c r="R76" t="inlineStr">
        <is>
          <t>Русское Игристое полусладкое красное — Абрау-Дюрсо — Красное полусладкое</t>
        </is>
      </c>
      <c r="S76" s="3" t="n">
        <v>0.8042595982551575</v>
      </c>
      <c r="T76" s="3" t="n">
        <v>0.05141459405422211</v>
      </c>
      <c r="U76" t="n">
        <v>1640.1</v>
      </c>
    </row>
    <row r="77">
      <c r="A77" t="inlineStr">
        <is>
          <t>96.45_19-08-2026_19-35-28.webp</t>
        </is>
      </c>
      <c r="B77" t="inlineStr">
        <is>
          <t>не уверен</t>
        </is>
      </c>
      <c r="C77" t="inlineStr">
        <is>
          <t>czitronnyj-magaracha</t>
        </is>
      </c>
      <c r="D77" t="inlineStr">
        <is>
          <t>Цитрон — Табия — Белое сухое</t>
        </is>
      </c>
      <c r="E77" t="inlineStr">
        <is>
          <t>в slug сухое, а нужно полусухое, но полусухого нет</t>
        </is>
      </c>
      <c r="F77" t="inlineStr">
        <is>
          <t>czitronnyj-magaracha</t>
        </is>
      </c>
      <c r="G77" t="inlineStr">
        <is>
          <t>oleg</t>
        </is>
      </c>
      <c r="H77" t="inlineStr">
        <is>
          <t>risling-1</t>
        </is>
      </c>
      <c r="I77" t="inlineStr">
        <is>
          <t>rubin-golodrigi</t>
        </is>
      </c>
      <c r="J77" t="inlineStr">
        <is>
          <t>bukovinka</t>
        </is>
      </c>
      <c r="K77">
        <f>IF(C77="","",IFERROR(MATCH(C77,F77:J77,0),"нет"))</f>
        <v/>
      </c>
      <c r="L77">
        <f>IF(C77="","",IF(K77=1,1,0))</f>
        <v/>
      </c>
      <c r="M77">
        <f>IF(C77="","",IF(ISNUMBER(K77),1,0))</f>
        <v/>
      </c>
      <c r="N77" t="inlineStr">
        <is>
          <t>Цитрон — Табия — Белое сухое</t>
        </is>
      </c>
      <c r="O77" t="inlineStr">
        <is>
          <t>Олег — Табия — Белое сухое</t>
        </is>
      </c>
      <c r="P77" t="inlineStr">
        <is>
          <t>Рислинг — Табия — Белое полусухое</t>
        </is>
      </c>
      <c r="Q77" t="inlineStr">
        <is>
          <t>Рубин Голодриги  — Табия — Красное сухое</t>
        </is>
      </c>
      <c r="R77" t="inlineStr">
        <is>
          <t>Буковинка — Табия — Белое полусухое</t>
        </is>
      </c>
      <c r="S77" s="3" t="n">
        <v>0.9999998807907104</v>
      </c>
      <c r="T77" s="3" t="n">
        <v>6.023573462243803e-08</v>
      </c>
      <c r="U77" t="n">
        <v>768.5</v>
      </c>
    </row>
    <row r="78">
      <c r="A78" t="inlineStr">
        <is>
          <t>96.53_03-09-2026_16-39-17.webp</t>
        </is>
      </c>
      <c r="B78" t="inlineStr">
        <is>
          <t>нет в каталоге</t>
        </is>
      </c>
      <c r="F78" t="inlineStr">
        <is>
          <t>fanagoriya-beloe-polusladkoe</t>
        </is>
      </c>
      <c r="G78" t="inlineStr">
        <is>
          <t>rozovoe-polusladkoe</t>
        </is>
      </c>
      <c r="H78" t="inlineStr">
        <is>
          <t>fanagoriya-fanagoriya-blanc-de-blancs-beloe-iz-belogo-shardone-igristoe-bryut-beloe-11-13</t>
        </is>
      </c>
      <c r="I78" t="inlineStr">
        <is>
          <t>fanagoriya-zelyonoe-vino-risling-tsitronnyy-magaracha-merlo-rozovoe-polusuhoe-11</t>
        </is>
      </c>
      <c r="J78" t="inlineStr">
        <is>
          <t>fanagoriya-fanagoria-extra-brut-rose-2019-pino-nuar-igristoe-bryut-rozovoe-ekstra-bryut-12</t>
        </is>
      </c>
      <c r="K78">
        <f>IF(C78="","",IFERROR(MATCH(C78,F78:J78,0),"нет"))</f>
        <v/>
      </c>
      <c r="L78">
        <f>IF(C78="","",IF(K78=1,1,0))</f>
        <v/>
      </c>
      <c r="M78">
        <f>IF(C78="","",IF(ISNUMBER(K78),1,0))</f>
        <v/>
      </c>
      <c r="N78" t="inlineStr">
        <is>
          <t>Фанагория белое полусладкое — Фанагория — Белое полусладкое</t>
        </is>
      </c>
      <c r="O78" t="inlineStr">
        <is>
          <t>Розовое полусладкое — Фанагория — Розовое полусладкое</t>
        </is>
      </c>
      <c r="P78" t="inlineStr">
        <is>
          <t>Фанагория. Blanc de Blancs. Белое из белого — Фанагория — Белое брют</t>
        </is>
      </c>
      <c r="Q78" t="inlineStr">
        <is>
          <t>Зелёное вино. Рислинг - Цитронный Магарача - Мерло — Фанагория — Розовое полусухое</t>
        </is>
      </c>
      <c r="R78" t="inlineStr">
        <is>
          <t>Fanagoria Extra Brut Rose 2019 — Фанагория — Розовое экстра брют</t>
        </is>
      </c>
      <c r="S78" s="3" t="n">
        <v>0.9845525026321411</v>
      </c>
      <c r="T78" s="3" t="n">
        <v>0.005854363087564707</v>
      </c>
      <c r="U78" t="n">
        <v>1271.8</v>
      </c>
    </row>
    <row r="79">
      <c r="A79" t="inlineStr">
        <is>
          <t>96.54_04-09-2026_19-30-52.webp</t>
        </is>
      </c>
      <c r="B79" t="inlineStr">
        <is>
          <t>уверенно</t>
        </is>
      </c>
      <c r="C79" t="inlineStr">
        <is>
          <t>denisov-winery-risling-beloe-suhoe-115</t>
        </is>
      </c>
      <c r="D79" t="inlineStr">
        <is>
          <t>Рислинг — Denisov Winery — Белое сухое</t>
        </is>
      </c>
      <c r="F79" t="inlineStr">
        <is>
          <t>denisov-winery-risling-beloe-suhoe-115</t>
        </is>
      </c>
      <c r="G79" t="inlineStr">
        <is>
          <t>dubinin-winery-risling-beloe-suhoe-12</t>
        </is>
      </c>
      <c r="H79" t="inlineStr">
        <is>
          <t>znoj-denisov-vajneri</t>
        </is>
      </c>
      <c r="I79" t="inlineStr">
        <is>
          <t>vinodelnya-78-aligote-otbornoe-beloe-suhoe-12</t>
        </is>
      </c>
      <c r="J79" t="inlineStr">
        <is>
          <t>risling-2</t>
        </is>
      </c>
      <c r="K79">
        <f>IF(C79="","",IFERROR(MATCH(C79,F79:J79,0),"нет"))</f>
        <v/>
      </c>
      <c r="L79">
        <f>IF(C79="","",IF(K79=1,1,0))</f>
        <v/>
      </c>
      <c r="M79">
        <f>IF(C79="","",IF(ISNUMBER(K79),1,0))</f>
        <v/>
      </c>
      <c r="N79" t="inlineStr">
        <is>
          <t>Рислинг — Denisov Winery — Белое сухое</t>
        </is>
      </c>
      <c r="O79" t="inlineStr">
        <is>
          <t>Рислинг — Dubinin Winery — Белое сухое</t>
        </is>
      </c>
      <c r="P79" t="inlineStr">
        <is>
          <t>Зной. Денисов Вайнери — Denisov Winery — Белое сухое</t>
        </is>
      </c>
      <c r="Q79" t="inlineStr">
        <is>
          <t>Алиготе Отборное — Винодельня 78 — Белое сухое</t>
        </is>
      </c>
      <c r="R79" t="inlineStr">
        <is>
          <t>Рислинг  — Литавщук. Litavshchuk vineyards &amp; winery — Белое полусухое</t>
        </is>
      </c>
      <c r="S79" s="3" t="n">
        <v>0.9999998807907104</v>
      </c>
      <c r="T79" s="3" t="n">
        <v>6.825602838489431e-08</v>
      </c>
      <c r="U79" t="n">
        <v>1180.4</v>
      </c>
    </row>
    <row r="80">
      <c r="A80" t="inlineStr">
        <is>
          <t>96.55_30-08-2026_19-34-31.webp</t>
        </is>
      </c>
      <c r="B80" t="inlineStr">
        <is>
          <t>уверенно</t>
        </is>
      </c>
      <c r="C80" t="inlineStr">
        <is>
          <t>novyy-svet-dom-shampanskih-vin-novyy-svet-polusladkoe-roze-shardone-rozovoe-115</t>
        </is>
      </c>
      <c r="D80" t="inlineStr">
        <is>
          <t>Новый Свет полусладкое розе — Новый Свет. Дом шампанских вин — Розовое полусладкое</t>
        </is>
      </c>
      <c r="F80" t="inlineStr">
        <is>
          <t>novyy-svet-dom-shampanskih-vin-novyy-svet-polusladkoe-roze-shardone-rozovoe-115</t>
        </is>
      </c>
      <c r="G80" t="inlineStr">
        <is>
          <t>novyy-svet-dom-shampanskih-vin-rossiyskoe-shampanskoe-vyderzhannoe-polusladkoe-rozovoe-novyy-svet-shardone-125</t>
        </is>
      </c>
      <c r="H80" t="inlineStr">
        <is>
          <t>novyj-svet-polusladkoe</t>
        </is>
      </c>
      <c r="I80" t="inlineStr">
        <is>
          <t>novyj-svet-vyderzhannoe-bryut</t>
        </is>
      </c>
      <c r="J80" t="inlineStr">
        <is>
          <t>novyy-svet-dom-shampanskih-vin-igristoe-vino-vyderzhannoe-polusladkoe-krasnoe-novyy-svet-kaberne-sovinon-12</t>
        </is>
      </c>
      <c r="K80">
        <f>IF(C80="","",IFERROR(MATCH(C80,F80:J80,0),"нет"))</f>
        <v/>
      </c>
      <c r="L80">
        <f>IF(C80="","",IF(K80=1,1,0))</f>
        <v/>
      </c>
      <c r="M80">
        <f>IF(C80="","",IF(ISNUMBER(K80),1,0))</f>
        <v/>
      </c>
      <c r="N80" t="inlineStr">
        <is>
          <t>Новый Свет полусладкое розе — Новый Свет. Дом шампанских вин — Розовое полусладкое</t>
        </is>
      </c>
      <c r="O80" t="inlineStr">
        <is>
          <t>Российское шампанское выдержанное полусладкое розовое «Новый Свет» — Новый Свет. Дом шампанских вин — Розовое полусладкое</t>
        </is>
      </c>
      <c r="P80" t="inlineStr">
        <is>
          <t>Новый Свет полусладкое — Новый Свет. Дом шампанских вин — Белое полусладкое</t>
        </is>
      </c>
      <c r="Q80" t="inlineStr">
        <is>
          <t>Новый Свет выдержанное брют — Новый Свет. Дом шампанских вин — Белое брют</t>
        </is>
      </c>
      <c r="R80" t="inlineStr">
        <is>
          <t>Игристое вино выдержанное полусладкое красное «Новый Свет. Каберне Совиньон» — Новый Свет. Дом шампанских вин — Красное полусладкое</t>
        </is>
      </c>
      <c r="S80" s="3" t="n">
        <v>0.8807894587516785</v>
      </c>
      <c r="T80" s="3" t="n">
        <v>8.299198839267774e-07</v>
      </c>
      <c r="U80" t="n">
        <v>1266.4</v>
      </c>
    </row>
    <row r="81">
      <c r="A81" t="inlineStr">
        <is>
          <t>96.58_05-09-2026_16-05-04.webp</t>
        </is>
      </c>
      <c r="B81" t="inlineStr">
        <is>
          <t>уверенно</t>
        </is>
      </c>
      <c r="C81" t="inlineStr">
        <is>
          <t>fanagoriya-zelyonoe-vino-risling-tsitronnyy-magaracha-beloe-polusuhoe-11</t>
        </is>
      </c>
      <c r="D81" t="inlineStr">
        <is>
          <t>Зелёное вино. Рислинг - Цитронный Магарача — Фанагория — Белое полусухое</t>
        </is>
      </c>
      <c r="F81" t="inlineStr">
        <is>
          <t>fanagoriya-zelyonoe-vino-risling-tsitronnyy-magaracha-beloe-polusuhoe-11</t>
        </is>
      </c>
      <c r="G81" t="inlineStr">
        <is>
          <t>fanagoriya-zelyonoe-vino-risling-tsitronnyy-magaracha-merlo-rozovoe-polusuhoe-11</t>
        </is>
      </c>
      <c r="H81" t="inlineStr">
        <is>
          <t>vinodelnya-vedernikov-vedernikov-dolina-dona-beloe-suhoe-aligote-12</t>
        </is>
      </c>
      <c r="I81" t="inlineStr">
        <is>
          <t>eleonora</t>
        </is>
      </c>
      <c r="J81" t="inlineStr">
        <is>
          <t>levokumskoe-beloe-rkatsiteli-suhoe-10</t>
        </is>
      </c>
      <c r="K81">
        <f>IF(C81="","",IFERROR(MATCH(C81,F81:J81,0),"нет"))</f>
        <v/>
      </c>
      <c r="L81">
        <f>IF(C81="","",IF(K81=1,1,0))</f>
        <v/>
      </c>
      <c r="M81">
        <f>IF(C81="","",IF(ISNUMBER(K81),1,0))</f>
        <v/>
      </c>
      <c r="N81" t="inlineStr">
        <is>
          <t>Зелёное вино. Рислинг - Цитронный Магарача — Фанагория — Белое полусухое</t>
        </is>
      </c>
      <c r="O81" t="inlineStr">
        <is>
          <t>Зелёное вино. Рислинг - Цитронный Магарача - Мерло — Фанагория — Розовое полусухое</t>
        </is>
      </c>
      <c r="P81" t="inlineStr">
        <is>
          <t>Ведерниковъ Долина Дона Белое Сухое — Ведерниковъ — Белое сухое</t>
        </is>
      </c>
      <c r="Q81" t="inlineStr">
        <is>
          <t>Eleonora, 2021 — WINEMAFIA — Белое сухое</t>
        </is>
      </c>
      <c r="R81" t="inlineStr">
        <is>
          <t>Белое — Левокумское — Белое сухое</t>
        </is>
      </c>
      <c r="S81" s="3" t="n">
        <v>0.9999998807907104</v>
      </c>
      <c r="T81" s="3" t="n">
        <v>7.734421103577915e-08</v>
      </c>
      <c r="U81" t="n">
        <v>1146.9</v>
      </c>
    </row>
    <row r="82">
      <c r="A82" t="inlineStr">
        <is>
          <t>96.61_28-08-2026_09-16-27.webp</t>
        </is>
      </c>
      <c r="B82" t="inlineStr">
        <is>
          <t>нет в каталоге</t>
        </is>
      </c>
      <c r="F82" t="inlineStr">
        <is>
          <t>balaklava-muskat-beloe-polusladkoe</t>
        </is>
      </c>
      <c r="G82" t="inlineStr">
        <is>
          <t>balaklava-bryut-rezerv</t>
        </is>
      </c>
      <c r="H82" t="inlineStr">
        <is>
          <t>balaklava-muskat</t>
        </is>
      </c>
      <c r="I82" t="inlineStr">
        <is>
          <t>balaklava-pino-nuar</t>
        </is>
      </c>
      <c r="J82" t="inlineStr">
        <is>
          <t>shardone-balaklava</t>
        </is>
      </c>
      <c r="K82">
        <f>IF(C82="","",IFERROR(MATCH(C82,F82:J82,0),"нет"))</f>
        <v/>
      </c>
      <c r="L82">
        <f>IF(C82="","",IF(K82=1,1,0))</f>
        <v/>
      </c>
      <c r="M82">
        <f>IF(C82="","",IF(ISNUMBER(K82),1,0))</f>
        <v/>
      </c>
      <c r="N82" t="inlineStr">
        <is>
          <t>Балаклава Мускат белое полусладкое — Золотая Балка — Белое полусладкое</t>
        </is>
      </c>
      <c r="O82" t="inlineStr">
        <is>
          <t>Балаклава Брют Резерв — Золотая Балка — Белое брют</t>
        </is>
      </c>
      <c r="P82" t="inlineStr">
        <is>
          <t>Балаклава Мускат — Золотая Балка — Белое брют</t>
        </is>
      </c>
      <c r="Q82" t="inlineStr">
        <is>
          <t>Балаклава Пино Нуар — Золотая Балка — Розовое брют</t>
        </is>
      </c>
      <c r="R82" t="inlineStr">
        <is>
          <t>Шардоне Балаклава  — Золотая Балка — Белое брют</t>
        </is>
      </c>
      <c r="S82" s="3" t="n">
        <v>0.9999996423721313</v>
      </c>
      <c r="T82" s="3" t="n">
        <v>8.764245507109081e-08</v>
      </c>
      <c r="U82" t="n">
        <v>2173.3</v>
      </c>
    </row>
    <row r="83">
      <c r="A83" t="inlineStr">
        <is>
          <t>96.62_07-09-2026_18-12-27.webp</t>
        </is>
      </c>
      <c r="B83" t="inlineStr">
        <is>
          <t>уверенно</t>
        </is>
      </c>
      <c r="C83" t="inlineStr">
        <is>
          <t>fanagoriya-zelyonoe-vino-risling-tsitronnyy-magaracha-beloe-polusuhoe-11</t>
        </is>
      </c>
      <c r="D83" t="inlineStr">
        <is>
          <t>Зелёное вино. Рислинг - Цитронный Магарача — Фанагория — Белое полусухое</t>
        </is>
      </c>
      <c r="F83" t="inlineStr">
        <is>
          <t>fanagoriya-zelyonoe-vino-risling-tsitronnyy-magaracha-beloe-polusuhoe-11</t>
        </is>
      </c>
      <c r="G83" t="inlineStr">
        <is>
          <t>fanagoriya-zelyonoe-vino-risling-tsitronnyy-magaracha-merlo-rozovoe-polusuhoe-11</t>
        </is>
      </c>
      <c r="H83" t="inlineStr">
        <is>
          <t>fanagoriya-100-ottenkov-shardone-beloe-suhoe-14</t>
        </is>
      </c>
      <c r="I83" t="inlineStr">
        <is>
          <t>vinodelnya-vedernikov-vedernikov-dolina-dona-beloe-suhoe-aligote-12</t>
        </is>
      </c>
      <c r="J83" t="inlineStr">
        <is>
          <t>levokumskoe-beloe-rkatsiteli-suhoe-10</t>
        </is>
      </c>
      <c r="K83">
        <f>IF(C83="","",IFERROR(MATCH(C83,F83:J83,0),"нет"))</f>
        <v/>
      </c>
      <c r="L83">
        <f>IF(C83="","",IF(K83=1,1,0))</f>
        <v/>
      </c>
      <c r="M83">
        <f>IF(C83="","",IF(ISNUMBER(K83),1,0))</f>
        <v/>
      </c>
      <c r="N83" t="inlineStr">
        <is>
          <t>Зелёное вино. Рислинг - Цитронный Магарача — Фанагория — Белое полусухое</t>
        </is>
      </c>
      <c r="O83" t="inlineStr">
        <is>
          <t>Зелёное вино. Рислинг - Цитронный Магарача - Мерло — Фанагория — Розовое полусухое</t>
        </is>
      </c>
      <c r="P83" t="inlineStr">
        <is>
          <t>100 оттенков. Шардоне — Фанагория — Белое сухое</t>
        </is>
      </c>
      <c r="Q83" t="inlineStr">
        <is>
          <t>Ведерниковъ Долина Дона Белое Сухое — Ведерниковъ — Белое сухое</t>
        </is>
      </c>
      <c r="R83" t="inlineStr">
        <is>
          <t>Белое — Левокумское — Белое сухое</t>
        </is>
      </c>
      <c r="S83" s="3" t="n">
        <v>0.9999998807907104</v>
      </c>
      <c r="T83" s="3" t="n">
        <v>5.315784790127509e-08</v>
      </c>
      <c r="U83" t="n">
        <v>1243.1</v>
      </c>
    </row>
    <row r="84">
      <c r="A84" t="inlineStr">
        <is>
          <t>96.64_26-08-2026_16-52-37.webp</t>
        </is>
      </c>
      <c r="B84" t="inlineStr">
        <is>
          <t>нет в каталоге</t>
        </is>
      </c>
      <c r="F84" t="inlineStr">
        <is>
          <t>valeriy-zaharin-bastardo-kefesiya-avtohtonnoe-vino-kryma-bastardo-magarachskiy-krasnoe-suhoe-115</t>
        </is>
      </c>
      <c r="G84" t="inlineStr">
        <is>
          <t>valeriy-zaharin-avtorskoe-vino-ot-valeriya-zaharina-bastardo-bastardo-magarachskiy-krasnoe-suhoe-12</t>
        </is>
      </c>
      <c r="H84" t="inlineStr">
        <is>
          <t>valeriy-zaharin-avtorskoe-vino-ot-valeriya-zaharina-aleatiko-rozovoe-suhoe-115</t>
        </is>
      </c>
      <c r="I84" t="inlineStr">
        <is>
          <t>valeriy-zaharin-avtorskoe-vino-ot-valeriya-zaharina-krasnoe-pino-nuar-suhoe-125</t>
        </is>
      </c>
      <c r="J84" t="inlineStr">
        <is>
          <t>valeriy-zaharin-avtohtonnoe-vino-kryma-avtorskiy-kupazh-bastardo-saperavi-kefesiya-bastardo-magarachskiy-krasnoe-suhoe-12</t>
        </is>
      </c>
      <c r="K84">
        <f>IF(C84="","",IFERROR(MATCH(C84,F84:J84,0),"нет"))</f>
        <v/>
      </c>
      <c r="L84">
        <f>IF(C84="","",IF(K84=1,1,0))</f>
        <v/>
      </c>
      <c r="M84">
        <f>IF(C84="","",IF(ISNUMBER(K84),1,0))</f>
        <v/>
      </c>
      <c r="N84" t="inlineStr">
        <is>
          <t>Бастардо - Кефесия. Автохтонное вино Крыма — Валерий Захарьин — Красное сухое</t>
        </is>
      </c>
      <c r="O84" t="inlineStr">
        <is>
          <t>Авторское вино от Валерия Захарьина. Бастардо — Валерий Захарьин — Красное сухое</t>
        </is>
      </c>
      <c r="P84" t="inlineStr">
        <is>
          <t>Авторское вино от Валерия Захарьина. Алеатико — Валерий Захарьин — Розовое сухое</t>
        </is>
      </c>
      <c r="Q84" t="inlineStr">
        <is>
          <t>Авторское вино от Валерия Захарьина. Красное — Валерий Захарьин — Красное сухое</t>
        </is>
      </c>
      <c r="R84" t="inlineStr">
        <is>
          <t>Автохтонное вино Крыма. Авторский Купаж. Бастардо – Саперави – Кефесия — Валерий Захарьин — Красное сухое</t>
        </is>
      </c>
      <c r="S84" s="3" t="n">
        <v>0.9997889399528503</v>
      </c>
      <c r="T84" s="3" t="n">
        <v>1.994312697206624e-06</v>
      </c>
      <c r="U84" t="n">
        <v>989</v>
      </c>
    </row>
    <row r="85">
      <c r="A85" t="inlineStr">
        <is>
          <t>96.65_02-09-2026_12-08-51.webp</t>
        </is>
      </c>
      <c r="B85" t="inlineStr">
        <is>
          <t>уверенно</t>
        </is>
      </c>
      <c r="C85" t="inlineStr">
        <is>
          <t>kaberne-sovinon-3</t>
        </is>
      </c>
      <c r="D85" t="inlineStr">
        <is>
          <t>Каберне Совиньон — Литавщук. Litavshchuk vineyards &amp; winery — Красное полусухое</t>
        </is>
      </c>
      <c r="F85" t="inlineStr">
        <is>
          <t>kaberne-sovinon-3</t>
        </is>
      </c>
      <c r="G85" t="inlineStr">
        <is>
          <t>vinodelnya-begildeeva-kaberne-sovinon-krasnoe-suhoe-14</t>
        </is>
      </c>
      <c r="H85" t="inlineStr">
        <is>
          <t>vinodelnya-begildeeva-kaberne-sovinon-merlo-krasnoe-suhoe-14</t>
        </is>
      </c>
      <c r="I85" t="inlineStr">
        <is>
          <t>kaberne-sovinon-1</t>
        </is>
      </c>
      <c r="J85" t="inlineStr">
        <is>
          <t>kaberne-sovinon-4</t>
        </is>
      </c>
      <c r="K85">
        <f>IF(C85="","",IFERROR(MATCH(C85,F85:J85,0),"нет"))</f>
        <v/>
      </c>
      <c r="L85">
        <f>IF(C85="","",IF(K85=1,1,0))</f>
        <v/>
      </c>
      <c r="M85">
        <f>IF(C85="","",IF(ISNUMBER(K85),1,0))</f>
        <v/>
      </c>
      <c r="N85" t="inlineStr">
        <is>
          <t>Каберне Совиньон — Литавщук. Litavshchuk vineyards &amp; winery — Красное полусухое</t>
        </is>
      </c>
      <c r="O85" t="inlineStr">
        <is>
          <t>Каберне Совиньон — Винодельня Бегильдеева — Красное сухое</t>
        </is>
      </c>
      <c r="P85" t="inlineStr">
        <is>
          <t>Каберне Совиньон – Мерло — Винодельня Бегильдеева — Красное сухое</t>
        </is>
      </c>
      <c r="Q85" t="inlineStr">
        <is>
          <t>Каберне Совиньон — Галицкий и Галицкий — Красное сухое</t>
        </is>
      </c>
      <c r="R85" t="inlineStr">
        <is>
          <t>Каберне Совиньон — Усадьба Перовских — Красное сухое</t>
        </is>
      </c>
      <c r="S85" s="3" t="n">
        <v>0.9999998807907104</v>
      </c>
      <c r="T85" s="3" t="n">
        <v>4.139937459513021e-08</v>
      </c>
      <c r="U85" t="n">
        <v>1278.9</v>
      </c>
    </row>
    <row r="86">
      <c r="A86" t="inlineStr">
        <is>
          <t>96.66_22-08-2026_20-44-40.webp</t>
        </is>
      </c>
      <c r="B86" t="inlineStr">
        <is>
          <t>уверенно</t>
        </is>
      </c>
      <c r="C86" t="inlineStr">
        <is>
          <t>perovskih_polusuhoe_krasnoe</t>
        </is>
      </c>
      <c r="D86" t="inlineStr">
        <is>
          <t>Полусухое Красное — Усадьба Перовских — Красное полусухое</t>
        </is>
      </c>
      <c r="F86" t="inlineStr">
        <is>
          <t>perovskih_polusuhoe_krasnoe</t>
        </is>
      </c>
      <c r="G86" t="inlineStr">
        <is>
          <t>perovskih_polusladkoe_krasnoe</t>
        </is>
      </c>
      <c r="H86" t="inlineStr">
        <is>
          <t>perovskih_polusladkoe_beloe</t>
        </is>
      </c>
      <c r="I86" t="inlineStr">
        <is>
          <t>rozovoe-polusuhoe</t>
        </is>
      </c>
      <c r="J86" t="inlineStr">
        <is>
          <t>perovskih_polusladkoe_rosovoe</t>
        </is>
      </c>
      <c r="K86">
        <f>IF(C86="","",IFERROR(MATCH(C86,F86:J86,0),"нет"))</f>
        <v/>
      </c>
      <c r="L86">
        <f>IF(C86="","",IF(K86=1,1,0))</f>
        <v/>
      </c>
      <c r="M86">
        <f>IF(C86="","",IF(ISNUMBER(K86),1,0))</f>
        <v/>
      </c>
      <c r="N86" t="inlineStr">
        <is>
          <t>Полусухое Красное — Усадьба Перовских — Красное полусухое</t>
        </is>
      </c>
      <c r="O86" t="inlineStr">
        <is>
          <t>Полусладкое Красное — Усадьба Перовских — Красное полусладкое</t>
        </is>
      </c>
      <c r="P86" t="inlineStr">
        <is>
          <t>Полусладкое Белое  — Усадьба Перовских — Белое полусладкое</t>
        </is>
      </c>
      <c r="Q86" t="inlineStr">
        <is>
          <t>Розовое полусухое — Усадьба Перовских — Розовое полусухое</t>
        </is>
      </c>
      <c r="R86" t="inlineStr">
        <is>
          <t>Полусладкое розовое — Усадьба Перовских — Розовое полусладкое</t>
        </is>
      </c>
      <c r="S86" s="3" t="n">
        <v>0.7741974592208862</v>
      </c>
      <c r="T86" s="3" t="n">
        <v>0.0300188921391964</v>
      </c>
      <c r="U86" t="n">
        <v>1126.5</v>
      </c>
    </row>
    <row r="87">
      <c r="A87" t="inlineStr">
        <is>
          <t>96.67_27-08-2026_17-47-05.webp</t>
        </is>
      </c>
      <c r="B87" t="inlineStr">
        <is>
          <t>нет в каталоге</t>
        </is>
      </c>
      <c r="F87" t="inlineStr">
        <is>
          <t>vinodelnya-begildeeva-merlo-krasnoe-suhoe-14</t>
        </is>
      </c>
      <c r="G87" t="inlineStr">
        <is>
          <t>vinodelnya-begildeeva-kaberne-sovinon-merlo-krasnoe-suhoe-14</t>
        </is>
      </c>
      <c r="H87" t="inlineStr">
        <is>
          <t>vinodelnya-begildeeva-kaberne-sovinon-krasnoe-suhoe-14</t>
        </is>
      </c>
      <c r="I87" t="inlineStr">
        <is>
          <t>belbek-beloe-suhoe-kaberne-sovinon-krasnoe-14</t>
        </is>
      </c>
      <c r="J87" t="inlineStr">
        <is>
          <t>soyuz-vino-soyuz-vino-izabella-krasnoe-polusladkoe-11</t>
        </is>
      </c>
      <c r="K87">
        <f>IF(C87="","",IFERROR(MATCH(C87,F87:J87,0),"нет"))</f>
        <v/>
      </c>
      <c r="L87">
        <f>IF(C87="","",IF(K87=1,1,0))</f>
        <v/>
      </c>
      <c r="M87">
        <f>IF(C87="","",IF(ISNUMBER(K87),1,0))</f>
        <v/>
      </c>
      <c r="N87" t="inlineStr">
        <is>
          <t>Мерло — Винодельня Бегильдеева — Красное сухое</t>
        </is>
      </c>
      <c r="O87" t="inlineStr">
        <is>
          <t>Каберне Совиньон – Мерло — Винодельня Бегильдеева — Красное сухое</t>
        </is>
      </c>
      <c r="P87" t="inlineStr">
        <is>
          <t>Каберне Совиньон — Винодельня Бегильдеева — Красное сухое</t>
        </is>
      </c>
      <c r="Q87" t="inlineStr">
        <is>
          <t>Белое сухое — Бельбек — Красное сухое</t>
        </is>
      </c>
      <c r="R87" t="inlineStr">
        <is>
          <t>Союз-Вино Изабелла — Союз-Вино — Красное полусладкое</t>
        </is>
      </c>
      <c r="S87" s="3" t="n">
        <v>0.0008040370885282755</v>
      </c>
      <c r="T87" s="3" t="n">
        <v>0.9991351962089539</v>
      </c>
      <c r="U87" t="n">
        <v>941.3</v>
      </c>
    </row>
    <row r="88">
      <c r="A88" t="inlineStr">
        <is>
          <t>96.74_28-08-2026_13-52-26.webp</t>
        </is>
      </c>
      <c r="B88" t="inlineStr">
        <is>
          <t>уверенно</t>
        </is>
      </c>
      <c r="C88" t="inlineStr">
        <is>
          <t>usadba-mezyb-shishka-kupazh-5-kaberne-sovinon-rozovoe-suhoe-133</t>
        </is>
      </c>
      <c r="D88" t="inlineStr">
        <is>
          <t>Шишка. Купаж №5 — Усадьба Мезыбь — Розовое сухое</t>
        </is>
      </c>
      <c r="F88" t="inlineStr">
        <is>
          <t>usadba-mezyb-shishka-kupazh-5-kaberne-sovinon-rozovoe-suhoe-133</t>
        </is>
      </c>
      <c r="G88" t="inlineStr">
        <is>
          <t>usadba-mezyb-shishka-pino-nuar-rozovoe-suhoe-115</t>
        </is>
      </c>
      <c r="H88" t="inlineStr">
        <is>
          <t>usadba-mezyb-shishka-oranzh-shardone-beloe-suhoe-127</t>
        </is>
      </c>
      <c r="I88" t="inlineStr">
        <is>
          <t>usadba-mezyb-shishka-shenen-blan-sovinon-blan-beloe-suhoe-126</t>
        </is>
      </c>
      <c r="J88" t="inlineStr">
        <is>
          <t>usadba-mezyb-shishka-shenen-blan-beloe-suhoe-13</t>
        </is>
      </c>
      <c r="K88">
        <f>IF(C88="","",IFERROR(MATCH(C88,F88:J88,0),"нет"))</f>
        <v/>
      </c>
      <c r="L88">
        <f>IF(C88="","",IF(K88=1,1,0))</f>
        <v/>
      </c>
      <c r="M88">
        <f>IF(C88="","",IF(ISNUMBER(K88),1,0))</f>
        <v/>
      </c>
      <c r="N88" t="inlineStr">
        <is>
          <t>Шишка. Купаж №5 — Усадьба Мезыбь — Розовое сухое</t>
        </is>
      </c>
      <c r="O88" t="inlineStr">
        <is>
          <t>Шишка. Пино Нуар — Усадьба Мезыбь — Розовое сухое</t>
        </is>
      </c>
      <c r="P88" t="inlineStr">
        <is>
          <t>Шишка. Оранж — Усадьба Мезыбь — Белое сухое</t>
        </is>
      </c>
      <c r="Q88" t="inlineStr">
        <is>
          <t>Шишка. Шенен Блан, Совиньон Блан — Усадьба Мезыбь — Белое сухое</t>
        </is>
      </c>
      <c r="R88" t="inlineStr">
        <is>
          <t>Шишка. Шенен Блан — Усадьба Мезыбь — Белое сухое</t>
        </is>
      </c>
      <c r="S88" s="3" t="n">
        <v>0.9999996423721313</v>
      </c>
      <c r="T88" s="3" t="n">
        <v>9.931191158329966e-08</v>
      </c>
      <c r="U88" t="n">
        <v>2363.9</v>
      </c>
    </row>
    <row r="89">
      <c r="A89" t="inlineStr">
        <is>
          <t>96.76_07-09-2026_14-57-04.webp</t>
        </is>
      </c>
      <c r="B89" t="inlineStr">
        <is>
          <t>уверенно</t>
        </is>
      </c>
      <c r="C89" t="inlineStr">
        <is>
          <t>pozdnij-sbor-krasnoe</t>
        </is>
      </c>
      <c r="D89" t="inlineStr">
        <is>
          <t>Поздний сбор, Красное — Литавщук. Litavshchuk vineyards &amp; winery — Красное сладкое</t>
        </is>
      </c>
      <c r="F89" t="inlineStr">
        <is>
          <t>pozdnij-sbor-krasnoe</t>
        </is>
      </c>
      <c r="G89" t="inlineStr">
        <is>
          <t>pozdnij-sbor-beloe</t>
        </is>
      </c>
      <c r="H89" t="inlineStr">
        <is>
          <t>usadba-aleksandrovskaya-bubnovyy-valet-kaberne-sovinon-krasnoe-polusladkoe-13</t>
        </is>
      </c>
      <c r="I89" t="inlineStr">
        <is>
          <t>sober-bash-dve-doliny-tsimlyanskiy-2023-tsimlyanskiy-chernyy-krasnoe-suhoe-13</t>
        </is>
      </c>
      <c r="J89" t="inlineStr">
        <is>
          <t>kokur-premium</t>
        </is>
      </c>
      <c r="K89">
        <f>IF(C89="","",IFERROR(MATCH(C89,F89:J89,0),"нет"))</f>
        <v/>
      </c>
      <c r="L89">
        <f>IF(C89="","",IF(K89=1,1,0))</f>
        <v/>
      </c>
      <c r="M89">
        <f>IF(C89="","",IF(ISNUMBER(K89),1,0))</f>
        <v/>
      </c>
      <c r="N89" t="inlineStr">
        <is>
          <t>Поздний сбор, Красное — Литавщук. Litavshchuk vineyards &amp; winery — Красное сладкое</t>
        </is>
      </c>
      <c r="O89" t="inlineStr">
        <is>
          <t>Поздний сбор  Белое — Литавщук. Litavshchuk vineyards &amp; winery — Белое сладкое</t>
        </is>
      </c>
      <c r="P89" t="inlineStr">
        <is>
          <t>Бубновый Валет — Усадьба Александровская — Красное полусладкое</t>
        </is>
      </c>
      <c r="Q89" t="inlineStr">
        <is>
          <t>Две долины. Цимлянский 2023 — Собер Баш — Красное сухое</t>
        </is>
      </c>
      <c r="R89" t="inlineStr">
        <is>
          <t>Кокур Премиум — Массандра — Белое сухое</t>
        </is>
      </c>
      <c r="S89" s="3" t="n">
        <v>0.9999921321868896</v>
      </c>
      <c r="T89" s="3" t="n">
        <v>6.023526566423243e-08</v>
      </c>
      <c r="U89" t="n">
        <v>1043.6</v>
      </c>
    </row>
    <row r="90">
      <c r="A90" t="inlineStr">
        <is>
          <t>96.77_24-08-2026_14-10-46.webp</t>
        </is>
      </c>
      <c r="B90" t="inlineStr">
        <is>
          <t>уверенно</t>
        </is>
      </c>
      <c r="C90" t="inlineStr">
        <is>
          <t>golubitskoe-estate-red-blend-kaberne-sovinon-krasnoe-suhoe-136</t>
        </is>
      </c>
      <c r="D90" t="inlineStr">
        <is>
          <t>Red Blend — Golubitskoe Estate — Красное сухое</t>
        </is>
      </c>
      <c r="F90" t="inlineStr">
        <is>
          <t>golubitskoe-estate-red-blend-kaberne-sovinon-krasnoe-suhoe-136</t>
        </is>
      </c>
      <c r="G90" t="inlineStr">
        <is>
          <t>golubitskoe-estate-winery-series-roze-blend-kaberne-sovinon-rozovoe-suhoe-117</t>
        </is>
      </c>
      <c r="H90" t="inlineStr">
        <is>
          <t>golubitskoe-estate-winery-series-pino-nuar-rozovoe-suhoe-115</t>
        </is>
      </c>
      <c r="I90" t="inlineStr">
        <is>
          <t>golubitskoe-estate-noble-selection-red-blend-kaberne-sovinon-krasnoe-suhoe-136</t>
        </is>
      </c>
      <c r="J90" t="inlineStr">
        <is>
          <t>pomeste-golubitskoe-kaberne-sovinon-rezerv-krasnoe-suhoe-143</t>
        </is>
      </c>
      <c r="K90">
        <f>IF(C90="","",IFERROR(MATCH(C90,F90:J90,0),"нет"))</f>
        <v/>
      </c>
      <c r="L90">
        <f>IF(C90="","",IF(K90=1,1,0))</f>
        <v/>
      </c>
      <c r="M90">
        <f>IF(C90="","",IF(ISNUMBER(K90),1,0))</f>
        <v/>
      </c>
      <c r="N90" t="inlineStr">
        <is>
          <t>Red Blend — Golubitskoe Estate — Красное сухое</t>
        </is>
      </c>
      <c r="O90" t="inlineStr">
        <is>
          <t>Winery Series. Розе бленд — Golubitskoe Estate — Розовое сухое</t>
        </is>
      </c>
      <c r="P90" t="inlineStr">
        <is>
          <t>Winery Series. Пино Нуар — Golubitskoe Estate — Розовое сухое</t>
        </is>
      </c>
      <c r="Q90" t="inlineStr">
        <is>
          <t>Noble Selection Red Blend — Golubitskoe Estate — Красное сухое</t>
        </is>
      </c>
      <c r="R90" t="inlineStr">
        <is>
          <t>Каберне Совиньон Резерв — Golubitskoe Estate — Красное сухое</t>
        </is>
      </c>
      <c r="S90" s="3" t="n">
        <v>0.9999151229858398</v>
      </c>
      <c r="T90" s="3" t="n">
        <v>3.120023757219315e-05</v>
      </c>
      <c r="U90" t="n">
        <v>1054.7</v>
      </c>
    </row>
    <row r="91">
      <c r="A91" t="inlineStr">
        <is>
          <t>96.78_25-08-2026_18-04-42.webp</t>
        </is>
      </c>
      <c r="B91" t="inlineStr">
        <is>
          <t>исключено</t>
        </is>
      </c>
      <c r="E91" t="inlineStr">
        <is>
          <t>здесь на фото 2 вина разных</t>
        </is>
      </c>
      <c r="F91" t="inlineStr">
        <is>
          <t>czitronnyj-magaracha</t>
        </is>
      </c>
      <c r="G91" t="inlineStr">
        <is>
          <t>bukovinka</t>
        </is>
      </c>
      <c r="H91" t="inlineStr">
        <is>
          <t>rubin-golodrigi</t>
        </is>
      </c>
      <c r="I91" t="inlineStr">
        <is>
          <t>kaberne-sovinon-2</t>
        </is>
      </c>
      <c r="J91" t="inlineStr">
        <is>
          <t>risling-1</t>
        </is>
      </c>
      <c r="K91">
        <f>IF(C91="","",IFERROR(MATCH(C91,F91:J91,0),"нет"))</f>
        <v/>
      </c>
      <c r="L91">
        <f>IF(C91="","",IF(K91=1,1,0))</f>
        <v/>
      </c>
      <c r="M91">
        <f>IF(C91="","",IF(ISNUMBER(K91),1,0))</f>
        <v/>
      </c>
      <c r="N91" t="inlineStr">
        <is>
          <t>Цитрон — Табия — Белое сухое</t>
        </is>
      </c>
      <c r="O91" t="inlineStr">
        <is>
          <t>Буковинка — Табия — Белое полусухое</t>
        </is>
      </c>
      <c r="P91" t="inlineStr">
        <is>
          <t>Рубин Голодриги  — Табия — Красное сухое</t>
        </is>
      </c>
      <c r="Q91" t="inlineStr">
        <is>
          <t>Каберне Совиньон — Табия — Красное сухое</t>
        </is>
      </c>
      <c r="R91" t="inlineStr">
        <is>
          <t>Рислинг — Табия — Белое полусухое</t>
        </is>
      </c>
      <c r="S91" s="3" t="n">
        <v>0.9629599452018738</v>
      </c>
      <c r="T91" s="3" t="n">
        <v>0.01556479744613171</v>
      </c>
      <c r="U91" t="n">
        <v>718</v>
      </c>
    </row>
    <row r="92">
      <c r="A92" t="inlineStr">
        <is>
          <t>96.79_20-08-2026_17-48-31.webp</t>
        </is>
      </c>
      <c r="B92" t="inlineStr">
        <is>
          <t>уверенно</t>
        </is>
      </c>
      <c r="C92" t="inlineStr">
        <is>
          <t>oleg</t>
        </is>
      </c>
      <c r="D92" t="inlineStr">
        <is>
          <t>Олег — Табия — Белое сухое</t>
        </is>
      </c>
      <c r="F92" t="inlineStr">
        <is>
          <t>oleg</t>
        </is>
      </c>
      <c r="G92" t="inlineStr">
        <is>
          <t>kaberne-sovinon-2</t>
        </is>
      </c>
      <c r="H92" t="inlineStr">
        <is>
          <t>rubin-golodrigi</t>
        </is>
      </c>
      <c r="I92" t="inlineStr">
        <is>
          <t>roze-2</t>
        </is>
      </c>
      <c r="J92" t="inlineStr">
        <is>
          <t>czitronnyj-magaracha</t>
        </is>
      </c>
      <c r="K92">
        <f>IF(C92="","",IFERROR(MATCH(C92,F92:J92,0),"нет"))</f>
        <v/>
      </c>
      <c r="L92">
        <f>IF(C92="","",IF(K92=1,1,0))</f>
        <v/>
      </c>
      <c r="M92">
        <f>IF(C92="","",IF(ISNUMBER(K92),1,0))</f>
        <v/>
      </c>
      <c r="N92" t="inlineStr">
        <is>
          <t>Олег — Табия — Белое сухое</t>
        </is>
      </c>
      <c r="O92" t="inlineStr">
        <is>
          <t>Каберне Совиньон — Табия — Красное сухое</t>
        </is>
      </c>
      <c r="P92" t="inlineStr">
        <is>
          <t>Рубин Голодриги  — Табия — Красное сухое</t>
        </is>
      </c>
      <c r="Q92" t="inlineStr">
        <is>
          <t>Розе — Табия — Розовое сухое</t>
        </is>
      </c>
      <c r="R92" t="inlineStr">
        <is>
          <t>Цитрон — Табия — Белое сухое</t>
        </is>
      </c>
      <c r="S92" s="3" t="n">
        <v>0.9999996423721313</v>
      </c>
      <c r="T92" s="3" t="n">
        <v>2.699577521525498e-07</v>
      </c>
      <c r="U92" t="n">
        <v>757.4</v>
      </c>
    </row>
    <row r="93">
      <c r="A93" t="inlineStr">
        <is>
          <t>96.79_28-08-2026_22-05-22.webp</t>
        </is>
      </c>
      <c r="B93" t="inlineStr">
        <is>
          <t>уверенно</t>
        </is>
      </c>
      <c r="C93" t="inlineStr">
        <is>
          <t>vinodelnya-vedernikov-vedernikov-dolina-dona-beloe-suhoe-aligote-12</t>
        </is>
      </c>
      <c r="D93" t="inlineStr">
        <is>
          <t>Ведерниковъ Долина Дона Белое Сухое — Ведерниковъ — Белое сухое</t>
        </is>
      </c>
      <c r="F93" t="inlineStr">
        <is>
          <t>vinodelnya-vedernikov-vedernikov-dolina-dona-beloe-suhoe-aligote-12</t>
        </is>
      </c>
      <c r="G93" t="inlineStr">
        <is>
          <t>vinodelnya-vedernikov-sibirkovyy-beloe-suhoe-11</t>
        </is>
      </c>
      <c r="H93" t="inlineStr">
        <is>
          <t>vinodelnya-vedernikov-vedernikov-dolina-dona-krasnoe-suhoe-kaberne-sovinon-125</t>
        </is>
      </c>
      <c r="I93" t="inlineStr">
        <is>
          <t>vinodelnya-vedernikov-gubernatorskoe-risling-beloe-suhoe-12</t>
        </is>
      </c>
      <c r="J93" t="inlineStr">
        <is>
          <t>vinodelnya-vedernikov-krasnostop-zolotovskiy-krasnoe-suhoe-13</t>
        </is>
      </c>
      <c r="K93">
        <f>IF(C93="","",IFERROR(MATCH(C93,F93:J93,0),"нет"))</f>
        <v/>
      </c>
      <c r="L93">
        <f>IF(C93="","",IF(K93=1,1,0))</f>
        <v/>
      </c>
      <c r="M93">
        <f>IF(C93="","",IF(ISNUMBER(K93),1,0))</f>
        <v/>
      </c>
      <c r="N93" t="inlineStr">
        <is>
          <t>Ведерниковъ Долина Дона Белое Сухое — Ведерниковъ — Белое сухое</t>
        </is>
      </c>
      <c r="O93" t="inlineStr">
        <is>
          <t>Сибирьковый — Ведерниковъ — Белое сухое</t>
        </is>
      </c>
      <c r="P93" t="inlineStr">
        <is>
          <t>Ведерниковъ Долина Дона Красное Сухое — Ведерниковъ — Красное сухое</t>
        </is>
      </c>
      <c r="Q93" t="inlineStr">
        <is>
          <t>Губернаторское. Рислинг — Ведерниковъ — Белое сухое</t>
        </is>
      </c>
      <c r="R93" t="inlineStr">
        <is>
          <t>Красностоп Золотовский — Ведерниковъ — Красное сухое</t>
        </is>
      </c>
      <c r="S93" s="3" t="n">
        <v>0.9999033212661743</v>
      </c>
      <c r="T93" s="3" t="n">
        <v>1.275067376127481e-07</v>
      </c>
      <c r="U93" t="n">
        <v>999.9</v>
      </c>
    </row>
    <row r="94">
      <c r="A94" t="inlineStr">
        <is>
          <t>96.7_28-08-2026_13-50-21.webp</t>
        </is>
      </c>
      <c r="B94" t="inlineStr">
        <is>
          <t>нет в каталоге</t>
        </is>
      </c>
      <c r="F94" t="inlineStr">
        <is>
          <t>usadba-divnomorskoe-yuzhnyy-les-merlo-krasnoe-suhoe-137</t>
        </is>
      </c>
      <c r="G94" t="inlineStr">
        <is>
          <t>usadba-divnomorskoe-solnechnyy-veter-shardone-beloe-suhoe-125</t>
        </is>
      </c>
      <c r="H94" t="inlineStr">
        <is>
          <t>usadba-divnomorskoe-holodnyy-tuman-risling-beloe-suhoe-115</t>
        </is>
      </c>
      <c r="I94" t="inlineStr">
        <is>
          <t>usadba-divnomorskoe-solist-marselan-rozovoe-suhoe-115</t>
        </is>
      </c>
      <c r="J94" t="inlineStr">
        <is>
          <t>vinodelnya-vedernikov-vedernikov-krasnostop-zolotovskiy-magnum-krasnoe-suhoe-145</t>
        </is>
      </c>
      <c r="K94">
        <f>IF(C94="","",IFERROR(MATCH(C94,F94:J94,0),"нет"))</f>
        <v/>
      </c>
      <c r="L94">
        <f>IF(C94="","",IF(K94=1,1,0))</f>
        <v/>
      </c>
      <c r="M94">
        <f>IF(C94="","",IF(ISNUMBER(K94),1,0))</f>
        <v/>
      </c>
      <c r="N94" t="inlineStr">
        <is>
          <t>Южный Лес — Усадьба Дивноморское — Красное сухое</t>
        </is>
      </c>
      <c r="O94" t="inlineStr">
        <is>
          <t>Солнечный Ветер — Усадьба Дивноморское — Белое сухое</t>
        </is>
      </c>
      <c r="P94" t="inlineStr">
        <is>
          <t>Холодный Туман — Усадьба Дивноморское — Белое сухое</t>
        </is>
      </c>
      <c r="Q94" t="inlineStr">
        <is>
          <t>Солист — Усадьба Дивноморское — Розовое сухое</t>
        </is>
      </c>
      <c r="R94" t="inlineStr">
        <is>
          <t>Ведерниковъ Красностоп Золотовский (магнум) — Ведерниковъ — Красное сухое</t>
        </is>
      </c>
      <c r="S94" s="3" t="n">
        <v>0.9999815225601196</v>
      </c>
      <c r="T94" s="3" t="n">
        <v>1.47389264384401e-05</v>
      </c>
      <c r="U94" t="n">
        <v>1554.8</v>
      </c>
    </row>
    <row r="95">
      <c r="A95" t="inlineStr">
        <is>
          <t>96.83_20-08-2026_17-48-13.webp</t>
        </is>
      </c>
      <c r="B95" t="inlineStr">
        <is>
          <t>уверенно</t>
        </is>
      </c>
      <c r="C95" t="inlineStr">
        <is>
          <t>oleg</t>
        </is>
      </c>
      <c r="D95" t="inlineStr">
        <is>
          <t>Олег — Табия — Белое сухое</t>
        </is>
      </c>
      <c r="F95" t="inlineStr">
        <is>
          <t>oleg</t>
        </is>
      </c>
      <c r="G95" t="inlineStr">
        <is>
          <t>roze-2</t>
        </is>
      </c>
      <c r="H95" t="inlineStr">
        <is>
          <t>rubin-golodrigi</t>
        </is>
      </c>
      <c r="I95" t="inlineStr">
        <is>
          <t>kaberne-sovinon-2</t>
        </is>
      </c>
      <c r="J95" t="inlineStr">
        <is>
          <t>rozovoe-zoloto</t>
        </is>
      </c>
      <c r="K95">
        <f>IF(C95="","",IFERROR(MATCH(C95,F95:J95,0),"нет"))</f>
        <v/>
      </c>
      <c r="L95">
        <f>IF(C95="","",IF(K95=1,1,0))</f>
        <v/>
      </c>
      <c r="M95">
        <f>IF(C95="","",IF(ISNUMBER(K95),1,0))</f>
        <v/>
      </c>
      <c r="N95" t="inlineStr">
        <is>
          <t>Олег — Табия — Белое сухое</t>
        </is>
      </c>
      <c r="O95" t="inlineStr">
        <is>
          <t>Розе — Табия — Розовое сухое</t>
        </is>
      </c>
      <c r="P95" t="inlineStr">
        <is>
          <t>Рубин Голодриги  — Табия — Красное сухое</t>
        </is>
      </c>
      <c r="Q95" t="inlineStr">
        <is>
          <t>Каберне Совиньон — Табия — Красное сухое</t>
        </is>
      </c>
      <c r="R95" t="inlineStr">
        <is>
          <t>Розовое золото — Табия — Розовое полусухое</t>
        </is>
      </c>
      <c r="S95" s="3" t="n">
        <v>0.9999988079071045</v>
      </c>
      <c r="T95" s="3" t="n">
        <v>2.102431295725182e-07</v>
      </c>
      <c r="U95" t="n">
        <v>675.5</v>
      </c>
    </row>
    <row r="96">
      <c r="A96" t="inlineStr">
        <is>
          <t>96.8_25-08-2026_22-20-38.webp</t>
        </is>
      </c>
      <c r="B96" t="inlineStr">
        <is>
          <t>не уверен</t>
        </is>
      </c>
      <c r="C96" t="inlineStr">
        <is>
          <t>sovinon-blan</t>
        </is>
      </c>
      <c r="D96" t="inlineStr">
        <is>
          <t>Совиньон Блан — Литавщук. Litavshchuk vineyards &amp; winery — Белое полусладкое</t>
        </is>
      </c>
      <c r="E96" t="inlineStr">
        <is>
          <t>то что в slug полусладкое, а на фото полусухое</t>
        </is>
      </c>
      <c r="F96" t="inlineStr">
        <is>
          <t>sovinon-blan</t>
        </is>
      </c>
      <c r="G96" t="inlineStr">
        <is>
          <t>blagolyubov-sovinon-blan-beloe-suhoe-125</t>
        </is>
      </c>
      <c r="H96" t="inlineStr">
        <is>
          <t>vinodelnya-myshako-sovinon-blan-beloe-suhoe-122</t>
        </is>
      </c>
      <c r="I96" t="inlineStr">
        <is>
          <t>dubinin-winery-sovinon-blan-beloe-suhoe-12</t>
        </is>
      </c>
      <c r="J96" t="inlineStr">
        <is>
          <t>sober-bash-kumshatskiy-kumshatskiy-belyy-beloe-suhoe-11</t>
        </is>
      </c>
      <c r="K96">
        <f>IF(C96="","",IFERROR(MATCH(C96,F96:J96,0),"нет"))</f>
        <v/>
      </c>
      <c r="L96">
        <f>IF(C96="","",IF(K96=1,1,0))</f>
        <v/>
      </c>
      <c r="M96">
        <f>IF(C96="","",IF(ISNUMBER(K96),1,0))</f>
        <v/>
      </c>
      <c r="N96" t="inlineStr">
        <is>
          <t>Совиньон Блан — Литавщук. Litavshchuk vineyards &amp; winery — Белое полусладкое</t>
        </is>
      </c>
      <c r="O96" t="inlineStr">
        <is>
          <t>Совиньон Блан — Благолюбов — Белое сухое</t>
        </is>
      </c>
      <c r="P96" t="inlineStr">
        <is>
          <t>Совиньон Блан — Мысхако — Белое сухое</t>
        </is>
      </c>
      <c r="Q96" t="inlineStr">
        <is>
          <t>Совиньон Блан — Dubinin Winery — Белое сухое</t>
        </is>
      </c>
      <c r="R96" t="inlineStr">
        <is>
          <t>Кумшацкий — Собер Баш — Белое сухое</t>
        </is>
      </c>
      <c r="S96" s="3" t="n">
        <v>1</v>
      </c>
      <c r="T96" s="3" t="n">
        <v>2.845334812207057e-08</v>
      </c>
      <c r="U96" t="n">
        <v>1242.2</v>
      </c>
    </row>
    <row r="97">
      <c r="A97" t="inlineStr">
        <is>
          <t>96.96_05-09-2026_19-02-01.webp</t>
        </is>
      </c>
      <c r="B97" t="inlineStr">
        <is>
          <t>уверенно</t>
        </is>
      </c>
      <c r="C97" t="inlineStr">
        <is>
          <t>denisov_rubin_klaret_krasnaya_strelka</t>
        </is>
      </c>
      <c r="D97" t="inlineStr">
        <is>
          <t>Рубин кларет . Красная стрелка — Denisov Winery — Розовое сухое</t>
        </is>
      </c>
      <c r="F97" t="inlineStr">
        <is>
          <t>denisov_rubin_klaret_krasnaya_strelka</t>
        </is>
      </c>
      <c r="G97" t="inlineStr">
        <is>
          <t>denisov_pino_noir_klaret</t>
        </is>
      </c>
      <c r="H97" t="inlineStr">
        <is>
          <t>vinodelnya-pokrovskaya-pokrovskoe-sladkoe-krasnoe-kaberne-sovinon-13</t>
        </is>
      </c>
      <c r="I97" t="inlineStr">
        <is>
          <t>usadba-aleksandrovskaya-bubnovyy-valet-kaberne-sovinon-krasnoe-polusladkoe-13</t>
        </is>
      </c>
      <c r="J97" t="inlineStr">
        <is>
          <t>vinodelnya-78-aligote-otbornoe-beloe-suhoe-12</t>
        </is>
      </c>
      <c r="K97">
        <f>IF(C97="","",IFERROR(MATCH(C97,F97:J97,0),"нет"))</f>
        <v/>
      </c>
      <c r="L97">
        <f>IF(C97="","",IF(K97=1,1,0))</f>
        <v/>
      </c>
      <c r="M97">
        <f>IF(C97="","",IF(ISNUMBER(K97),1,0))</f>
        <v/>
      </c>
      <c r="N97" t="inlineStr">
        <is>
          <t>Рубин кларет . Красная стрелка — Denisov Winery — Розовое сухое</t>
        </is>
      </c>
      <c r="O97" t="inlineStr">
        <is>
          <t>Пино Нуар кларет. Красная стрелка — Denisov Winery — Розовое сухое</t>
        </is>
      </c>
      <c r="P97" t="inlineStr">
        <is>
          <t>Покровское сладкое красное — Винодельня Покровская — Красное сладкое</t>
        </is>
      </c>
      <c r="Q97" t="inlineStr">
        <is>
          <t>Бубновый Валет — Усадьба Александровская — Красное полусладкое</t>
        </is>
      </c>
      <c r="R97" t="inlineStr">
        <is>
          <t>Алиготе Отборное — Винодельня 78 — Белое сухое</t>
        </is>
      </c>
      <c r="S97" s="3" t="n">
        <v>0.9999997615814209</v>
      </c>
      <c r="T97" s="3" t="n">
        <v>1.275190300020768e-07</v>
      </c>
      <c r="U97" t="n">
        <v>1194.7</v>
      </c>
    </row>
    <row r="98">
      <c r="A98" t="inlineStr">
        <is>
          <t>96.98_19-08-2026_19-05-06.webp</t>
        </is>
      </c>
      <c r="B98" t="inlineStr">
        <is>
          <t>уверенно</t>
        </is>
      </c>
      <c r="C98" t="inlineStr">
        <is>
          <t>czitronnyj-magaracha</t>
        </is>
      </c>
      <c r="D98" t="inlineStr">
        <is>
          <t>Цитрон — Табия — Белое сухое</t>
        </is>
      </c>
      <c r="E98" t="inlineStr">
        <is>
          <t>в slug сухое, а нужно полусухое, но полусухого нет</t>
        </is>
      </c>
      <c r="F98" t="inlineStr">
        <is>
          <t>czitronnyj-magaracha</t>
        </is>
      </c>
      <c r="G98" t="inlineStr">
        <is>
          <t>risling-1</t>
        </is>
      </c>
      <c r="H98" t="inlineStr">
        <is>
          <t>oleg</t>
        </is>
      </c>
      <c r="I98" t="inlineStr">
        <is>
          <t>bukovinka</t>
        </is>
      </c>
      <c r="J98" t="inlineStr">
        <is>
          <t>rubin-golodrigi</t>
        </is>
      </c>
      <c r="K98">
        <f>IF(C98="","",IFERROR(MATCH(C98,F98:J98,0),"нет"))</f>
        <v/>
      </c>
      <c r="L98">
        <f>IF(C98="","",IF(K98=1,1,0))</f>
        <v/>
      </c>
      <c r="M98">
        <f>IF(C98="","",IF(ISNUMBER(K98),1,0))</f>
        <v/>
      </c>
      <c r="N98" t="inlineStr">
        <is>
          <t>Цитрон — Табия — Белое сухое</t>
        </is>
      </c>
      <c r="O98" t="inlineStr">
        <is>
          <t>Рислинг — Табия — Белое полусухое</t>
        </is>
      </c>
      <c r="P98" t="inlineStr">
        <is>
          <t>Олег — Табия — Белое сухое</t>
        </is>
      </c>
      <c r="Q98" t="inlineStr">
        <is>
          <t>Буковинка — Табия — Белое полусухое</t>
        </is>
      </c>
      <c r="R98" t="inlineStr">
        <is>
          <t>Рубин Голодриги  — Табия — Красное сухое</t>
        </is>
      </c>
      <c r="S98" s="3" t="n">
        <v>0.9999997615814209</v>
      </c>
      <c r="T98" s="3" t="n">
        <v>1.275190300020768e-07</v>
      </c>
      <c r="U98" t="n">
        <v>713</v>
      </c>
    </row>
    <row r="99">
      <c r="A99" t="inlineStr">
        <is>
          <t>97.02_29-08-2026_18-49-02.webp</t>
        </is>
      </c>
      <c r="B99" t="inlineStr">
        <is>
          <t>нет в каталоге</t>
        </is>
      </c>
      <c r="F99" t="inlineStr">
        <is>
          <t>caperavi-avtorskoe-vino</t>
        </is>
      </c>
      <c r="G99" t="inlineStr">
        <is>
          <t>massandra-kagor-yuzhnoberezhnyy-saperavi-krasnoe-sladkoe-16</t>
        </is>
      </c>
      <c r="H99" t="inlineStr">
        <is>
          <t>kaberne-avtorskoe-vino</t>
        </is>
      </c>
      <c r="I99" t="inlineStr">
        <is>
          <t>massandra-premium-sangiovese-sandzhoveze-krasnoe-suhoe-13</t>
        </is>
      </c>
      <c r="J99" t="inlineStr">
        <is>
          <t>kaberne-sovinon</t>
        </is>
      </c>
      <c r="K99">
        <f>IF(C99="","",IFERROR(MATCH(C99,F99:J99,0),"нет"))</f>
        <v/>
      </c>
      <c r="L99">
        <f>IF(C99="","",IF(K99=1,1,0))</f>
        <v/>
      </c>
      <c r="M99">
        <f>IF(C99="","",IF(ISNUMBER(K99),1,0))</f>
        <v/>
      </c>
      <c r="N99" t="inlineStr">
        <is>
          <t>Cаперави. Авторское вино — Массандра — Красное сухое</t>
        </is>
      </c>
      <c r="O99" t="inlineStr">
        <is>
          <t>Кагор Южнобережный — Массандра — Красное сладкое</t>
        </is>
      </c>
      <c r="P99" t="inlineStr">
        <is>
          <t>Каберне. Авторское вино — Массандра — Красное сухое</t>
        </is>
      </c>
      <c r="Q99" t="inlineStr">
        <is>
          <t>Premium Sangiovese — Массандра — Красное сухое</t>
        </is>
      </c>
      <c r="R99" t="inlineStr">
        <is>
          <t>Каберне Совиньон — Массандра — Красное сладкое</t>
        </is>
      </c>
      <c r="S99" s="3" t="n">
        <v>0.9999458789825439</v>
      </c>
      <c r="T99" s="3" t="n">
        <v>8.939292456489056e-06</v>
      </c>
      <c r="U99" t="n">
        <v>910</v>
      </c>
    </row>
    <row r="100">
      <c r="A100" t="inlineStr">
        <is>
          <t>97.08_05-09-2026_15-30-50.webp</t>
        </is>
      </c>
      <c r="B100" t="inlineStr">
        <is>
          <t>нет в каталоге</t>
        </is>
      </c>
      <c r="F100" t="inlineStr">
        <is>
          <t>fanagoriya-alveus-ultra-cuvee-brut-shardone-beloe-bryut-12</t>
        </is>
      </c>
      <c r="G100" t="inlineStr">
        <is>
          <t>fanagoriya-alveus-ultra-cuvee-ekstra-bryut-rozovoe-merlo-12</t>
        </is>
      </c>
      <c r="H100" t="inlineStr">
        <is>
          <t>fanagoriya-alveus-ultra-cuvee-ekstra-bryut-beloe-risling-reynskiy-12</t>
        </is>
      </c>
      <c r="I100" t="inlineStr">
        <is>
          <t>rozovoe-bryut-1</t>
        </is>
      </c>
      <c r="J100" t="inlineStr">
        <is>
          <t>novyy-svet-dom-shampanskih-vin-igristoe-vino-vyderzhannoe-polusladkoe-rozovoe-novyy-svet-pino-fran-135</t>
        </is>
      </c>
      <c r="K100">
        <f>IF(C100="","",IFERROR(MATCH(C100,F100:J100,0),"нет"))</f>
        <v/>
      </c>
      <c r="L100">
        <f>IF(C100="","",IF(K100=1,1,0))</f>
        <v/>
      </c>
      <c r="M100">
        <f>IF(C100="","",IF(ISNUMBER(K100),1,0))</f>
        <v/>
      </c>
      <c r="N100" t="inlineStr">
        <is>
          <t>Alveus Ultra Cuvee Brut — Фанагория — Белое брют</t>
        </is>
      </c>
      <c r="O100" t="inlineStr">
        <is>
          <t>Alveus Ultra Cuvee. Экстра брют розовое — Фанагория — Розовое экстра брют</t>
        </is>
      </c>
      <c r="P100" t="inlineStr">
        <is>
          <t>Alveus Ultra Cuvee. Экстра брют белое — Фанагория — Белое экстра брют</t>
        </is>
      </c>
      <c r="Q100" t="inlineStr">
        <is>
          <t>Розовое брют — Золотая Балка — Розовое брют</t>
        </is>
      </c>
      <c r="R100" t="inlineStr">
        <is>
          <t>Игристое вино выдержанное полусладкое розовое «Новый Свет. Пино Фран» — Новый Свет. Дом шампанских вин — Розовое полусладкое</t>
        </is>
      </c>
      <c r="S100" s="3" t="n">
        <v>0.2092742621898651</v>
      </c>
      <c r="T100" s="3" t="n">
        <v>0.6446101069450378</v>
      </c>
      <c r="U100" t="n">
        <v>1229.7</v>
      </c>
    </row>
    <row r="101">
      <c r="A101" t="inlineStr">
        <is>
          <t>97.23_05-09-2026_15-34-36.webp</t>
        </is>
      </c>
      <c r="B101" t="inlineStr">
        <is>
          <t>не уверен</t>
        </is>
      </c>
      <c r="C101" t="inlineStr">
        <is>
          <t>sovinon-blan</t>
        </is>
      </c>
      <c r="D101" t="inlineStr">
        <is>
          <t>Совиньон Блан — Литавщук. Litavshchuk vineyards &amp; winery — Белое полусладкое</t>
        </is>
      </c>
      <c r="E101" t="inlineStr">
        <is>
          <t>то что в slug полусладкое, а на фото полусухое</t>
        </is>
      </c>
      <c r="F101" t="inlineStr">
        <is>
          <t>sovinon-blan</t>
        </is>
      </c>
      <c r="G101" t="inlineStr">
        <is>
          <t>blagolyubov-sovinon-blan-beloe-suhoe-125</t>
        </is>
      </c>
      <c r="H101" t="inlineStr">
        <is>
          <t>risling-2</t>
        </is>
      </c>
      <c r="I101" t="inlineStr">
        <is>
          <t>vinodelnya-begildeeva-kaberne-sovinon-krasnoe-suhoe-14</t>
        </is>
      </c>
      <c r="J101" t="inlineStr">
        <is>
          <t>vinodelnya-pokrovskaya-sovinon-blan-pokrovskoe-beloe-suhoe-12</t>
        </is>
      </c>
      <c r="K101">
        <f>IF(C101="","",IFERROR(MATCH(C101,F101:J101,0),"нет"))</f>
        <v/>
      </c>
      <c r="L101">
        <f>IF(C101="","",IF(K101=1,1,0))</f>
        <v/>
      </c>
      <c r="M101">
        <f>IF(C101="","",IF(ISNUMBER(K101),1,0))</f>
        <v/>
      </c>
      <c r="N101" t="inlineStr">
        <is>
          <t>Совиньон Блан — Литавщук. Litavshchuk vineyards &amp; winery — Белое полусладкое</t>
        </is>
      </c>
      <c r="O101" t="inlineStr">
        <is>
          <t>Совиньон Блан — Благолюбов — Белое сухое</t>
        </is>
      </c>
      <c r="P101" t="inlineStr">
        <is>
          <t>Рислинг  — Литавщук. Litavshchuk vineyards &amp; winery — Белое полусухое</t>
        </is>
      </c>
      <c r="Q101" t="inlineStr">
        <is>
          <t>Каберне Совиньон — Винодельня Бегильдеева — Красное сухое</t>
        </is>
      </c>
      <c r="R101" t="inlineStr">
        <is>
          <t>Совиньон Блан. Покровское — Винодельня Покровская — Белое сухое</t>
        </is>
      </c>
      <c r="S101" s="3" t="n">
        <v>1</v>
      </c>
      <c r="T101" s="3" t="n">
        <v>2.215949024275687e-08</v>
      </c>
      <c r="U101" t="n">
        <v>1492.7</v>
      </c>
    </row>
  </sheetData>
  <autoFilter ref="A1:U101"/>
  <conditionalFormatting sqref="F2:J101">
    <cfRule type="expression" priority="1" dxfId="0">
      <formula>AND($C2&lt;&gt;"",F2=$C2)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34" customWidth="1" min="3" max="3"/>
    <col width="40" customWidth="1" min="4" max="4"/>
    <col width="30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9" customWidth="1" min="11" max="11"/>
    <col width="9" customWidth="1" min="12" max="12"/>
    <col width="9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12" customWidth="1" min="19" max="19"/>
    <col width="12" customWidth="1" min="20" max="20"/>
    <col width="10" customWidth="1" min="21" max="21"/>
  </cols>
  <sheetData>
    <row r="1">
      <c r="A1" s="5" t="inlineStr">
        <is>
          <t>Фото</t>
        </is>
      </c>
      <c r="B1" s="5" t="inlineStr">
        <is>
          <t>Статус разметки</t>
        </is>
      </c>
      <c r="C1" s="5" t="inlineStr">
        <is>
          <t>target</t>
        </is>
      </c>
      <c r="D1" s="5" t="inlineStr">
        <is>
          <t>target: вино</t>
        </is>
      </c>
      <c r="E1" s="5" t="inlineStr">
        <is>
          <t>Комментарий разметчика</t>
        </is>
      </c>
      <c r="F1" s="5" t="inlineStr">
        <is>
          <t>top-1</t>
        </is>
      </c>
      <c r="G1" s="5" t="inlineStr">
        <is>
          <t>top-2</t>
        </is>
      </c>
      <c r="H1" s="5" t="inlineStr">
        <is>
          <t>top-3</t>
        </is>
      </c>
      <c r="I1" s="5" t="inlineStr">
        <is>
          <t>top-4</t>
        </is>
      </c>
      <c r="J1" s="5" t="inlineStr">
        <is>
          <t>top-5</t>
        </is>
      </c>
      <c r="K1" s="5" t="inlineStr">
        <is>
          <t>Ранг target</t>
        </is>
      </c>
      <c r="L1" s="5" t="inlineStr">
        <is>
          <t>Верно top-1</t>
        </is>
      </c>
      <c r="M1" s="5" t="inlineStr">
        <is>
          <t>Верно top-5</t>
        </is>
      </c>
      <c r="N1" s="5" t="inlineStr">
        <is>
          <t>top-1: вино</t>
        </is>
      </c>
      <c r="O1" s="5" t="inlineStr">
        <is>
          <t>top-2: вино</t>
        </is>
      </c>
      <c r="P1" s="5" t="inlineStr">
        <is>
          <t>top-3: вино</t>
        </is>
      </c>
      <c r="Q1" s="5" t="inlineStr">
        <is>
          <t>top-4: вино</t>
        </is>
      </c>
      <c r="R1" s="5" t="inlineStr">
        <is>
          <t>top-5: вино</t>
        </is>
      </c>
      <c r="S1" s="5" t="inlineStr">
        <is>
          <t>top-1: вероятность VLM</t>
        </is>
      </c>
      <c r="T1" s="5" t="inlineStr">
        <is>
          <t>«нет в списке» (VLM)</t>
        </is>
      </c>
      <c r="U1" s="5" t="inlineStr">
        <is>
          <t>VLM, мс</t>
        </is>
      </c>
    </row>
    <row r="2">
      <c r="A2" t="inlineStr">
        <is>
          <t>1.73_06-09-2026_14-54-06.webp</t>
        </is>
      </c>
      <c r="B2" t="inlineStr">
        <is>
          <t>не уверен</t>
        </is>
      </c>
      <c r="C2" t="inlineStr">
        <is>
          <t>fanagoriya-rose-kaberne-fran-rozovoe-suhoe-13</t>
        </is>
      </c>
      <c r="D2" t="inlineStr">
        <is>
          <t>Rose. Каберне Фран — Фанагория — Розовое сухое</t>
        </is>
      </c>
      <c r="E2" t="inlineStr">
        <is>
          <t>договоримся так, после __ я буду писать свои комментарии. этого вина нет в наборе, но я не уверен</t>
        </is>
      </c>
      <c r="F2" t="inlineStr">
        <is>
          <t>fanagoriya-rose-saperavi-rozovoe-polusuhoe-125</t>
        </is>
      </c>
      <c r="G2" t="inlineStr">
        <is>
          <t>fanagoriya-fanagoria-extra-brut-rose-2019-pino-nuar-igristoe-bryut-rozovoe-ekstra-bryut-12</t>
        </is>
      </c>
      <c r="H2" t="inlineStr">
        <is>
          <t>rozovoe-polusladkoe</t>
        </is>
      </c>
      <c r="I2" t="inlineStr">
        <is>
          <t>fanagoriya-zelyonoe-vino-risling-tsitronnyy-magaracha-merlo-rozovoe-polusuhoe-11</t>
        </is>
      </c>
      <c r="J2" t="inlineStr">
        <is>
          <t>fanagoriya-beloe-polusladkoe</t>
        </is>
      </c>
      <c r="K2">
        <f>IF(C2="","",IFERROR(MATCH(C2,F2:J2,0),"нет"))</f>
        <v/>
      </c>
      <c r="L2">
        <f>IF(C2="","",IF(K2=1,1,0))</f>
        <v/>
      </c>
      <c r="M2">
        <f>IF(C2="","",IF(ISNUMBER(K2),1,0))</f>
        <v/>
      </c>
      <c r="N2" t="inlineStr">
        <is>
          <t>Rose. Саперави — Фанагория — Розовое полусухое</t>
        </is>
      </c>
      <c r="O2" t="inlineStr">
        <is>
          <t>Fanagoria Extra Brut Rose 2019 — Фанагория — Розовое экстра брют</t>
        </is>
      </c>
      <c r="P2" t="inlineStr">
        <is>
          <t>Розовое полусладкое — Фанагория — Розовое полусладкое</t>
        </is>
      </c>
      <c r="Q2" t="inlineStr">
        <is>
          <t>Зелёное вино. Рислинг - Цитронный Магарача - Мерло — Фанагория — Розовое полусухое</t>
        </is>
      </c>
      <c r="R2" t="inlineStr">
        <is>
          <t>Фанагория белое полусладкое — Фанагория — Белое полусладкое</t>
        </is>
      </c>
      <c r="S2" s="3" t="n">
        <v>0.9561173319816589</v>
      </c>
      <c r="T2" s="3" t="n">
        <v>0.000528813514392823</v>
      </c>
      <c r="U2" t="n">
        <v>1669.2</v>
      </c>
    </row>
    <row r="3">
      <c r="A3" t="inlineStr">
        <is>
          <t>2.69_27-08-2026_14-29-00.webp</t>
        </is>
      </c>
      <c r="B3" t="inlineStr">
        <is>
          <t>нет в каталоге</t>
        </is>
      </c>
      <c r="F3" t="inlineStr">
        <is>
          <t>shato-pino-gravitatsiya-kaberne-sovinon-merlo-krasnoe-suhoe-135</t>
        </is>
      </c>
      <c r="G3" t="inlineStr">
        <is>
          <t>shato-pino-marselan-merlo-krasnoe-suhoe-13</t>
        </is>
      </c>
      <c r="H3" t="inlineStr">
        <is>
          <t>shato-pino-sovinon-blan-semilon-beloe-suhoe-115</t>
        </is>
      </c>
      <c r="I3" t="inlineStr">
        <is>
          <t>shato-pino-shato-pino-koldun-merlo-krasnoe-suhoe-137</t>
        </is>
      </c>
      <c r="J3" t="inlineStr">
        <is>
          <t>shato-pino-grand-reserve-pinot-noir-pino-nuar-krasnoe-suhoe-135</t>
        </is>
      </c>
      <c r="K3">
        <f>IF(C3="","",IFERROR(MATCH(C3,F3:J3,0),"нет"))</f>
        <v/>
      </c>
      <c r="L3">
        <f>IF(C3="","",IF(K3=1,1,0))</f>
        <v/>
      </c>
      <c r="M3">
        <f>IF(C3="","",IF(ISNUMBER(K3),1,0))</f>
        <v/>
      </c>
      <c r="N3" t="inlineStr">
        <is>
          <t>Гравитация. Каберне Совиньон - Мерло — Шато Пино — Красное сухое</t>
        </is>
      </c>
      <c r="O3" t="inlineStr">
        <is>
          <t>Марселан - Мерло — Шато Пино — Красное сухое</t>
        </is>
      </c>
      <c r="P3" t="inlineStr">
        <is>
          <t>Совиньон Блан - Семильон — Шато Пино — Белое сухое</t>
        </is>
      </c>
      <c r="Q3" t="inlineStr">
        <is>
          <t>Шато Пино «Колдун» — Шато Пино — Красное сухое</t>
        </is>
      </c>
      <c r="R3" t="inlineStr">
        <is>
          <t>Grand Reserve Pinot Noir — Шато Пино — Красное сухое</t>
        </is>
      </c>
      <c r="S3" s="3" t="n">
        <v>0.832558810710907</v>
      </c>
      <c r="T3" s="3" t="n">
        <v>0.1639405488967896</v>
      </c>
      <c r="U3" t="n">
        <v>644.7</v>
      </c>
    </row>
    <row r="4">
      <c r="A4" t="inlineStr">
        <is>
          <t>41.8_22-08-2026_20-56-40.webp</t>
        </is>
      </c>
      <c r="B4" t="inlineStr">
        <is>
          <t>нет в каталоге</t>
        </is>
      </c>
      <c r="F4" t="inlineStr">
        <is>
          <t>pino-nuar-2025</t>
        </is>
      </c>
      <c r="G4" t="inlineStr">
        <is>
          <t>usadba-mezyb-shishka-pino-nuar-rozovoe-suhoe-115</t>
        </is>
      </c>
      <c r="H4" t="inlineStr">
        <is>
          <t>pino-nuar</t>
        </is>
      </c>
      <c r="I4" t="inlineStr">
        <is>
          <t>bakla-vines-pino-nuar-krasnoe-suhoe-125</t>
        </is>
      </c>
      <c r="J4" t="inlineStr">
        <is>
          <t>usadba-perovskih-pino-nuar-rezerv-krasnoe-suhoe-122</t>
        </is>
      </c>
      <c r="K4">
        <f>IF(C4="","",IFERROR(MATCH(C4,F4:J4,0),"нет"))</f>
        <v/>
      </c>
      <c r="L4">
        <f>IF(C4="","",IF(K4=1,1,0))</f>
        <v/>
      </c>
      <c r="M4">
        <f>IF(C4="","",IF(ISNUMBER(K4),1,0))</f>
        <v/>
      </c>
      <c r="N4" t="inlineStr">
        <is>
          <t>Пино Нуар, 2025 — Винодельня Братьев Мельниковых — Розовое сухое</t>
        </is>
      </c>
      <c r="O4" t="inlineStr">
        <is>
          <t>Шишка. Пино Нуар — Усадьба Мезыбь — Розовое сухое</t>
        </is>
      </c>
      <c r="P4" t="inlineStr">
        <is>
          <t>Пино Нуар — Галицкий и Галицкий — Красное сухое</t>
        </is>
      </c>
      <c r="Q4" t="inlineStr">
        <is>
          <t>Пино Нуар — Bakla Vines — Красное сухое</t>
        </is>
      </c>
      <c r="R4" t="inlineStr">
        <is>
          <t>Пино Нуар Резерв — Усадьба Перовских — Красное сухое</t>
        </is>
      </c>
      <c r="S4" s="3" t="n">
        <v>0.9999864101409912</v>
      </c>
      <c r="T4" s="3" t="n">
        <v>1.37094048113795e-06</v>
      </c>
      <c r="U4" t="n">
        <v>1103</v>
      </c>
    </row>
    <row r="5">
      <c r="A5" t="inlineStr">
        <is>
          <t>48.98_02-09-2026_18-34-15.webp</t>
        </is>
      </c>
      <c r="B5" t="inlineStr">
        <is>
          <t>уверенно</t>
        </is>
      </c>
      <c r="C5" t="inlineStr">
        <is>
          <t>denisov_rubin_klaret_krasnaya_strelka</t>
        </is>
      </c>
      <c r="D5" t="inlineStr">
        <is>
          <t>Рубин кларет . Красная стрелка — Denisov Winery — Розовое сухое</t>
        </is>
      </c>
      <c r="F5" t="inlineStr">
        <is>
          <t>denisov_rubin_klaret_krasnaya_strelka</t>
        </is>
      </c>
      <c r="G5" t="inlineStr">
        <is>
          <t>denisov_pino_noir_klaret</t>
        </is>
      </c>
      <c r="H5" t="inlineStr">
        <is>
          <t>gunko-winery-krasnye-gliny-kaberne-fran-krasnoe-suhoe-14</t>
        </is>
      </c>
      <c r="I5" t="inlineStr">
        <is>
          <t>vinodelnya-pokrovskaya-pokrovskoe-sladkoe-krasnoe-kaberne-sovinon-13</t>
        </is>
      </c>
      <c r="J5" t="inlineStr">
        <is>
          <t>vinodelnya-konstantina-dzitoeva-kd-rezerv-merlo-krasnoe-suhoe-12</t>
        </is>
      </c>
      <c r="K5">
        <f>IF(C5="","",IFERROR(MATCH(C5,F5:J5,0),"нет"))</f>
        <v/>
      </c>
      <c r="L5">
        <f>IF(C5="","",IF(K5=1,1,0))</f>
        <v/>
      </c>
      <c r="M5">
        <f>IF(C5="","",IF(ISNUMBER(K5),1,0))</f>
        <v/>
      </c>
      <c r="N5" t="inlineStr">
        <is>
          <t>Рубин кларет . Красная стрелка — Denisov Winery — Розовое сухое</t>
        </is>
      </c>
      <c r="O5" t="inlineStr">
        <is>
          <t>Пино Нуар кларет. Красная стрелка — Denisov Winery — Розовое сухое</t>
        </is>
      </c>
      <c r="P5" t="inlineStr">
        <is>
          <t>Красные Глины — Gunko Winery — Красное сухое</t>
        </is>
      </c>
      <c r="Q5" t="inlineStr">
        <is>
          <t>Покровское сладкое красное — Винодельня Покровская — Красное сладкое</t>
        </is>
      </c>
      <c r="R5" t="inlineStr">
        <is>
          <t>KD Резерв — Винодельня Константина Дзитоева — Красное сухое</t>
        </is>
      </c>
      <c r="S5" s="3" t="n">
        <v>0.9999983310699463</v>
      </c>
      <c r="T5" s="3" t="n">
        <v>5.714998110306624e-07</v>
      </c>
      <c r="U5" t="n">
        <v>898.1</v>
      </c>
    </row>
    <row r="6">
      <c r="A6" t="inlineStr">
        <is>
          <t>68.81_05-09-2026_15-46-31.webp</t>
        </is>
      </c>
      <c r="B6" t="inlineStr">
        <is>
          <t>нет в каталоге</t>
        </is>
      </c>
      <c r="F6" t="inlineStr">
        <is>
          <t>fanagoriya-velvet-season-muskat-ottonel-beloe-sladkoe-13</t>
        </is>
      </c>
      <c r="G6" t="inlineStr">
        <is>
          <t>vinodelnya-myshako-muskat-avtorskaya-tehnologiya-mono-beloe-suhoe-128</t>
        </is>
      </c>
      <c r="H6" t="inlineStr">
        <is>
          <t>valeriy-zaharin-muskat-valeriy-zaharin-muskat-ottonel-beloe-polusladkoe-12</t>
        </is>
      </c>
      <c r="I6" t="inlineStr">
        <is>
          <t>fanagoriya-velvet-season-risling-beloe-sladkoe-12</t>
        </is>
      </c>
      <c r="J6" t="inlineStr">
        <is>
          <t>soyuz-vino-soyuz-vino-muskat-beloe-polusladkoe-11</t>
        </is>
      </c>
      <c r="K6">
        <f>IF(C6="","",IFERROR(MATCH(C6,F6:J6,0),"нет"))</f>
        <v/>
      </c>
      <c r="L6">
        <f>IF(C6="","",IF(K6=1,1,0))</f>
        <v/>
      </c>
      <c r="M6">
        <f>IF(C6="","",IF(ISNUMBER(K6),1,0))</f>
        <v/>
      </c>
      <c r="N6" t="inlineStr">
        <is>
          <t>Velvet Season — Фанагория — Белое сладкое</t>
        </is>
      </c>
      <c r="O6" t="inlineStr">
        <is>
          <t>Мускат. Авторская технология. Моно — Мысхако — Белое сухое</t>
        </is>
      </c>
      <c r="P6" t="inlineStr">
        <is>
          <t>Мускат. Валерий Захарьин — Валерий Захарьин — Белое полусладкое</t>
        </is>
      </c>
      <c r="Q6" t="inlineStr">
        <is>
          <t>Velvet Season — Фанагория — Белое сладкое</t>
        </is>
      </c>
      <c r="R6" t="inlineStr">
        <is>
          <t>Союз-Вино Мускат — Союз-Вино — Белое полусладкое</t>
        </is>
      </c>
      <c r="S6" s="3" t="n">
        <v>0.9938609600067139</v>
      </c>
      <c r="T6" s="3" t="n">
        <v>0.005909712985157967</v>
      </c>
      <c r="U6" t="n">
        <v>628.7</v>
      </c>
    </row>
    <row r="7">
      <c r="A7" t="inlineStr">
        <is>
          <t>70.45_04-09-2026_13-35-37.webp</t>
        </is>
      </c>
      <c r="B7" t="inlineStr">
        <is>
          <t>не уверен</t>
        </is>
      </c>
      <c r="C7" t="inlineStr">
        <is>
          <t>fanagoriya-formula-q-kaberne-sovinon-krasnoe-suhoe-135</t>
        </is>
      </c>
      <c r="D7" t="inlineStr">
        <is>
          <t>Формула Q — Фанагория — Красное сухое</t>
        </is>
      </c>
      <c r="E7" t="inlineStr">
        <is>
          <t>на фото слишком яркая этикетка, в каталоге более темная</t>
        </is>
      </c>
      <c r="F7" t="inlineStr">
        <is>
          <t>fanagoriya-formula-q-saperavi-krasnoe-suhoe-135</t>
        </is>
      </c>
      <c r="G7" t="inlineStr">
        <is>
          <t>fanagoriya-formula-q-kaberne-sovinon-krasnoe-suhoe-135</t>
        </is>
      </c>
      <c r="H7" t="inlineStr">
        <is>
          <t>fanagoriya-q-bordeaux-blend-kaberne-sovinon-krasnoe-suhoe-135</t>
        </is>
      </c>
      <c r="I7" t="inlineStr">
        <is>
          <t>fanagoriya-q-blanc-sovinon-blan-beloe-suhoe-14</t>
        </is>
      </c>
      <c r="J7" t="inlineStr">
        <is>
          <t>fanagoriya-beloe-polusladkoe</t>
        </is>
      </c>
      <c r="K7">
        <f>IF(C7="","",IFERROR(MATCH(C7,F7:J7,0),"нет"))</f>
        <v/>
      </c>
      <c r="L7">
        <f>IF(C7="","",IF(K7=1,1,0))</f>
        <v/>
      </c>
      <c r="M7">
        <f>IF(C7="","",IF(ISNUMBER(K7),1,0))</f>
        <v/>
      </c>
      <c r="N7" t="inlineStr">
        <is>
          <t>Formula Q — Фанагория — Красное сухое</t>
        </is>
      </c>
      <c r="O7" t="inlineStr">
        <is>
          <t>Формула Q — Фанагория — Красное сухое</t>
        </is>
      </c>
      <c r="P7" t="inlineStr">
        <is>
          <t>Q Bordeaux Blend — Фанагория — Красное сухое</t>
        </is>
      </c>
      <c r="Q7" t="inlineStr">
        <is>
          <t>Q Blanc — Фанагория — Белое сухое</t>
        </is>
      </c>
      <c r="R7" t="inlineStr">
        <is>
          <t>Фанагория белое полусладкое — Фанагория — Белое полусладкое</t>
        </is>
      </c>
      <c r="S7" s="3" t="n">
        <v>0.9999885559082031</v>
      </c>
      <c r="T7" s="3" t="n">
        <v>2.260303517687134e-06</v>
      </c>
      <c r="U7" t="n">
        <v>1081.3</v>
      </c>
    </row>
    <row r="8">
      <c r="A8" t="inlineStr">
        <is>
          <t>72.97_09-09-2026_19-38-57.webp</t>
        </is>
      </c>
      <c r="B8" t="inlineStr">
        <is>
          <t>нет в каталоге</t>
        </is>
      </c>
      <c r="F8" t="inlineStr">
        <is>
          <t>shato-pino-sovinon-blan-semilon-beloe-suhoe-115</t>
        </is>
      </c>
      <c r="G8" t="inlineStr">
        <is>
          <t>shato-pino-grand-reserve-chardonnay-shardone-beloe-suhoe-125</t>
        </is>
      </c>
      <c r="H8" t="inlineStr">
        <is>
          <t>shato-pino-gravitatsiya-kaberne-sovinon-merlo-krasnoe-suhoe-135</t>
        </is>
      </c>
      <c r="I8" t="inlineStr">
        <is>
          <t>shato-pino-marselan-merlo-krasnoe-suhoe-13</t>
        </is>
      </c>
      <c r="J8" t="inlineStr">
        <is>
          <t>shato-pino-grand-reserve-pinot-noir-pino-nuar-krasnoe-suhoe-135</t>
        </is>
      </c>
      <c r="K8">
        <f>IF(C8="","",IFERROR(MATCH(C8,F8:J8,0),"нет"))</f>
        <v/>
      </c>
      <c r="L8">
        <f>IF(C8="","",IF(K8=1,1,0))</f>
        <v/>
      </c>
      <c r="M8">
        <f>IF(C8="","",IF(ISNUMBER(K8),1,0))</f>
        <v/>
      </c>
      <c r="N8" t="inlineStr">
        <is>
          <t>Совиньон Блан - Семильон — Шато Пино — Белое сухое</t>
        </is>
      </c>
      <c r="O8" t="inlineStr">
        <is>
          <t>Grand Reserve Chardonnay — Шато Пино — Белое сухое</t>
        </is>
      </c>
      <c r="P8" t="inlineStr">
        <is>
          <t>Гравитация. Каберне Совиньон - Мерло — Шато Пино — Красное сухое</t>
        </is>
      </c>
      <c r="Q8" t="inlineStr">
        <is>
          <t>Марселан - Мерло — Шато Пино — Красное сухое</t>
        </is>
      </c>
      <c r="R8" t="inlineStr">
        <is>
          <t>Grand Reserve Pinot Noir — Шато Пино — Красное сухое</t>
        </is>
      </c>
      <c r="S8" s="3" t="n">
        <v>0.963780403137207</v>
      </c>
      <c r="T8" s="3" t="n">
        <v>0.03297875076532364</v>
      </c>
      <c r="U8" t="n">
        <v>604.2</v>
      </c>
    </row>
    <row r="9">
      <c r="A9" t="inlineStr">
        <is>
          <t>82.33_27-08-2026_10-03-52.webp</t>
        </is>
      </c>
      <c r="B9" t="inlineStr">
        <is>
          <t>уверенно</t>
        </is>
      </c>
      <c r="C9" t="inlineStr">
        <is>
          <t>skalistyj-bereg-shepot-czvetov</t>
        </is>
      </c>
      <c r="D9" t="inlineStr">
        <is>
          <t>Скалистый берег Шепот цветов — Скалистый берег — Белое сухое</t>
        </is>
      </c>
      <c r="F9" t="inlineStr">
        <is>
          <t>skalistyj-bereg-shepot-czvetov</t>
        </is>
      </c>
      <c r="G9" t="inlineStr">
        <is>
          <t>skalistyy-bereg-melodiya-leta-krasnostop-zolotovskiy-rozovoe-suhoe-126</t>
        </is>
      </c>
      <c r="H9" t="inlineStr">
        <is>
          <t>skalistyy-bereg-dyhanie-voln-shardone-beloe-suhoe-121</t>
        </is>
      </c>
      <c r="I9" t="inlineStr">
        <is>
          <t>vysokij-bereg-czvajgelt</t>
        </is>
      </c>
      <c r="J9" t="inlineStr">
        <is>
          <t>kuban-vino-vysokiy-bereg-grafit-roze-kaberne-sovinon-rozovoe-suhoe-12</t>
        </is>
      </c>
      <c r="K9">
        <f>IF(C9="","",IFERROR(MATCH(C9,F9:J9,0),"нет"))</f>
        <v/>
      </c>
      <c r="L9">
        <f>IF(C9="","",IF(K9=1,1,0))</f>
        <v/>
      </c>
      <c r="M9">
        <f>IF(C9="","",IF(ISNUMBER(K9),1,0))</f>
        <v/>
      </c>
      <c r="N9" t="inlineStr">
        <is>
          <t>Скалистый берег Шепот цветов — Скалистый берег — Белое сухое</t>
        </is>
      </c>
      <c r="O9" t="inlineStr">
        <is>
          <t>Мелодия лета — Скалистый берег — Розовое сухое</t>
        </is>
      </c>
      <c r="P9" t="inlineStr">
        <is>
          <t>Дыхание волн — Скалистый берег — Белое сухое</t>
        </is>
      </c>
      <c r="Q9" t="inlineStr">
        <is>
          <t>Высокий Берег Цвайгельт — Кубань-Вино — Розовое сухое</t>
        </is>
      </c>
      <c r="R9" t="inlineStr">
        <is>
          <t>Высокий Берег Графит Розе — Кубань-Вино — Розовое сухое</t>
        </is>
      </c>
      <c r="S9" s="3" t="n">
        <v>0.9999997615814209</v>
      </c>
      <c r="T9" s="3" t="n">
        <v>1.444980028963982e-07</v>
      </c>
      <c r="U9" t="n">
        <v>831.2</v>
      </c>
    </row>
    <row r="10">
      <c r="A10" t="inlineStr">
        <is>
          <t>84.73_07-09-2026_11-07-51.webp</t>
        </is>
      </c>
      <c r="B10" t="inlineStr">
        <is>
          <t>уверенно</t>
        </is>
      </c>
      <c r="C10" t="inlineStr">
        <is>
          <t>zhemchuzhnaya-9-aligote-czitron</t>
        </is>
      </c>
      <c r="D10" t="inlineStr">
        <is>
          <t>Жемчужная 9 Алиготе, Цитрон — АРАТТИ — Белое сухое</t>
        </is>
      </c>
      <c r="F10" t="inlineStr">
        <is>
          <t>zhemchuzhnaya-9-aligote-czitron</t>
        </is>
      </c>
      <c r="G10" t="inlineStr">
        <is>
          <t>zhemchuzhnaya-9-czitron-shardone</t>
        </is>
      </c>
      <c r="H10" t="inlineStr">
        <is>
          <t>zhemchuzhnaya-9-czitron-shardone-1</t>
        </is>
      </c>
      <c r="I10" t="inlineStr">
        <is>
          <t>zhemchuzhnaya-9-sovinon-blan-aligote</t>
        </is>
      </c>
      <c r="J10" t="inlineStr">
        <is>
          <t>czitronnyj-magaracha-sovinon-blan</t>
        </is>
      </c>
      <c r="K10">
        <f>IF(C10="","",IFERROR(MATCH(C10,F10:J10,0),"нет"))</f>
        <v/>
      </c>
      <c r="L10">
        <f>IF(C10="","",IF(K10=1,1,0))</f>
        <v/>
      </c>
      <c r="M10">
        <f>IF(C10="","",IF(ISNUMBER(K10),1,0))</f>
        <v/>
      </c>
      <c r="N10" t="inlineStr">
        <is>
          <t>Жемчужная 9 Алиготе, Цитрон — АРАТТИ — Белое сухое</t>
        </is>
      </c>
      <c r="O10" t="inlineStr">
        <is>
          <t>Жемчужная 9 Цитрон, Шардоне — АРАТТИ — Белое сухое</t>
        </is>
      </c>
      <c r="P10" t="inlineStr">
        <is>
          <t>Жемчужная 9 Цитрон, Шардоне — АРАТТИ — Белое полусладкое</t>
        </is>
      </c>
      <c r="Q10" t="inlineStr">
        <is>
          <t>Жемчужная 9 Совиньон блан, Алиготе — АРАТТИ — Белое сухое</t>
        </is>
      </c>
      <c r="R10" t="inlineStr">
        <is>
          <t>Жемчужная 9 Цитрон, Совиньон блан — АРАТТИ — Белое полусухое</t>
        </is>
      </c>
      <c r="S10" s="3" t="n">
        <v>0.9999990463256836</v>
      </c>
      <c r="T10" s="3" t="n">
        <v>3.466324187684222e-07</v>
      </c>
      <c r="U10" t="n">
        <v>637</v>
      </c>
    </row>
    <row r="11">
      <c r="A11" t="inlineStr">
        <is>
          <t>87.09_22-08-2026_20-57-16.webp</t>
        </is>
      </c>
      <c r="B11" t="inlineStr">
        <is>
          <t>уверенно</t>
        </is>
      </c>
      <c r="C11" t="inlineStr">
        <is>
          <t>pobeda</t>
        </is>
      </c>
      <c r="D11" t="inlineStr">
        <is>
          <t>Победа — Табия — Красное сухое</t>
        </is>
      </c>
      <c r="F11" t="inlineStr">
        <is>
          <t>pobeda</t>
        </is>
      </c>
      <c r="G11" t="inlineStr">
        <is>
          <t>rubin-golodrigi</t>
        </is>
      </c>
      <c r="H11" t="inlineStr">
        <is>
          <t>vinodelnya-begildeeva-kaberne-sovinon-krasnoe-suhoe-14</t>
        </is>
      </c>
      <c r="I11" t="inlineStr">
        <is>
          <t>kaberne-sovinon-2</t>
        </is>
      </c>
      <c r="J11" t="inlineStr">
        <is>
          <t>bukovinka</t>
        </is>
      </c>
      <c r="K11">
        <f>IF(C11="","",IFERROR(MATCH(C11,F11:J11,0),"нет"))</f>
        <v/>
      </c>
      <c r="L11">
        <f>IF(C11="","",IF(K11=1,1,0))</f>
        <v/>
      </c>
      <c r="M11">
        <f>IF(C11="","",IF(ISNUMBER(K11),1,0))</f>
        <v/>
      </c>
      <c r="N11" t="inlineStr">
        <is>
          <t>Победа — Табия — Красное сухое</t>
        </is>
      </c>
      <c r="O11" t="inlineStr">
        <is>
          <t>Рубин Голодриги  — Табия — Красное сухое</t>
        </is>
      </c>
      <c r="P11" t="inlineStr">
        <is>
          <t>Каберне Совиньон — Винодельня Бегильдеева — Красное сухое</t>
        </is>
      </c>
      <c r="Q11" t="inlineStr">
        <is>
          <t>Каберне Совиньон — Табия — Красное сухое</t>
        </is>
      </c>
      <c r="R11" t="inlineStr">
        <is>
          <t>Буковинка — Табия — Белое полусухое</t>
        </is>
      </c>
      <c r="S11" s="3" t="n">
        <v>0.9999996423721313</v>
      </c>
      <c r="T11" s="3" t="n">
        <v>2.102433143136295e-07</v>
      </c>
      <c r="U11" t="n">
        <v>602.7</v>
      </c>
    </row>
    <row r="12">
      <c r="A12" t="inlineStr">
        <is>
          <t>87.54_03-09-2026_13-27-53.webp</t>
        </is>
      </c>
      <c r="B12" t="inlineStr">
        <is>
          <t>уверенно</t>
        </is>
      </c>
      <c r="C12" t="inlineStr">
        <is>
          <t>relikta-relikta-sira-kaberne-fran-krasnoe-suhoe-13</t>
        </is>
      </c>
      <c r="D12" t="inlineStr">
        <is>
          <t>Реликта Сира, Каберне Фран — Реликта — Красное сухое</t>
        </is>
      </c>
      <c r="F12" t="inlineStr">
        <is>
          <t>relikta-relikta-sira-kaberne-fran-krasnoe-suhoe-13</t>
        </is>
      </c>
      <c r="G12" t="inlineStr">
        <is>
          <t>relikta-relikta-sira-krasnoe-suhoe-13</t>
        </is>
      </c>
      <c r="H12" t="inlineStr">
        <is>
          <t>relikta-relikta-kaberne-sovinon-krasnoe-suhoe-135</t>
        </is>
      </c>
      <c r="I12" t="inlineStr">
        <is>
          <t>relikta-relikta-merlo-kaberne-sovinon-krasnoe-suhoe-135</t>
        </is>
      </c>
      <c r="J12" t="inlineStr">
        <is>
          <t>relikta-relikta-merlo-krasnoe-suhoe-135</t>
        </is>
      </c>
      <c r="K12">
        <f>IF(C12="","",IFERROR(MATCH(C12,F12:J12,0),"нет"))</f>
        <v/>
      </c>
      <c r="L12">
        <f>IF(C12="","",IF(K12=1,1,0))</f>
        <v/>
      </c>
      <c r="M12">
        <f>IF(C12="","",IF(ISNUMBER(K12),1,0))</f>
        <v/>
      </c>
      <c r="N12" t="inlineStr">
        <is>
          <t>Реликта Сира, Каберне Фран — Реликта — Красное сухое</t>
        </is>
      </c>
      <c r="O12" t="inlineStr">
        <is>
          <t>Реликта Сира — Реликта — Красное сухое</t>
        </is>
      </c>
      <c r="P12" t="inlineStr">
        <is>
          <t>Реликта Каберне Совиньон — Реликта — Красное сухое</t>
        </is>
      </c>
      <c r="Q12" t="inlineStr">
        <is>
          <t>Реликта Мерло, Каберне Совиньон — Реликта — Красное сухое</t>
        </is>
      </c>
      <c r="R12" t="inlineStr">
        <is>
          <t>Реликта Мерло — Реликта — Красное сухое</t>
        </is>
      </c>
      <c r="S12" s="3" t="n">
        <v>0.9999998807907104</v>
      </c>
      <c r="T12" s="3" t="n">
        <v>4.691163724146463e-08</v>
      </c>
      <c r="U12" t="n">
        <v>1175.6</v>
      </c>
    </row>
    <row r="13">
      <c r="A13" t="inlineStr">
        <is>
          <t>87.6_20-08-2026_19-56-56.webp</t>
        </is>
      </c>
      <c r="B13" t="inlineStr">
        <is>
          <t>не уверен</t>
        </is>
      </c>
      <c r="C13" t="inlineStr">
        <is>
          <t>leto-shardone-2023-suhoe-beloe</t>
        </is>
      </c>
      <c r="D13" t="inlineStr">
        <is>
          <t>LETO Шардоне 2023 сухое белое — LETO — Белое сухое</t>
        </is>
      </c>
      <c r="E13" t="inlineStr">
        <is>
          <t>есть такое, но на фото черная этикетка вместо белой</t>
        </is>
      </c>
      <c r="F13" t="inlineStr">
        <is>
          <t>vinodelnya-uzunov-shardone-rezerv-beloe-suhoe-135</t>
        </is>
      </c>
      <c r="G13" t="inlineStr">
        <is>
          <t>vinodelnya-konstantina-dzitoeva-kd-shardone-beloe-suhoe-128</t>
        </is>
      </c>
      <c r="H13" t="inlineStr">
        <is>
          <t>vinodelnya-uzunov-rash-rezerv-risling-reynskiy-beloe-suhoe-127</t>
        </is>
      </c>
      <c r="I13" t="inlineStr">
        <is>
          <t>shardone-rezerv</t>
        </is>
      </c>
      <c r="J13" t="inlineStr">
        <is>
          <t>vinodelnya-myshako-shardone-avtorskaya-tehnologiya-beloe-suhoe-155</t>
        </is>
      </c>
      <c r="K13">
        <f>IF(C13="","",IFERROR(MATCH(C13,F13:J13,0),"нет"))</f>
        <v/>
      </c>
      <c r="L13">
        <f>IF(C13="","",IF(K13=1,1,0))</f>
        <v/>
      </c>
      <c r="M13">
        <f>IF(C13="","",IF(ISNUMBER(K13),1,0))</f>
        <v/>
      </c>
      <c r="N13" t="inlineStr">
        <is>
          <t>Шардоне Резерв — Винодельня Узунов — Белое сухое</t>
        </is>
      </c>
      <c r="O13" t="inlineStr">
        <is>
          <t>KD Шардоне — Винодельня Константина Дзитоева — Белое сухое</t>
        </is>
      </c>
      <c r="P13" t="inlineStr">
        <is>
          <t>РАШ Резерв — Винодельня Узунов — Белое сухое</t>
        </is>
      </c>
      <c r="Q13" t="inlineStr">
        <is>
          <t>Шардоне Резерв — Усадьба Перовских — Белое сухое</t>
        </is>
      </c>
      <c r="R13" t="inlineStr">
        <is>
          <t>Шардоне авторская технология — Мысхако — Белое сухое</t>
        </is>
      </c>
      <c r="S13" s="3" t="n">
        <v>0.9999821186065674</v>
      </c>
      <c r="T13" s="3" t="n">
        <v>1.760314830789866e-06</v>
      </c>
      <c r="U13" t="n">
        <v>861.8</v>
      </c>
    </row>
    <row r="14">
      <c r="A14" t="inlineStr">
        <is>
          <t>87.81_09-09-2026_17-16-36.webp</t>
        </is>
      </c>
      <c r="B14" t="inlineStr">
        <is>
          <t>не уверен</t>
        </is>
      </c>
      <c r="C14" t="inlineStr">
        <is>
          <t>aya-organic-wine-vineyards-purity-in-chenin-blanc-shenen-blan-beloe-suhoe-11</t>
        </is>
      </c>
      <c r="D14" t="inlineStr">
        <is>
          <t>Purity in Chenin Blanc — AYA Organic Wine &amp; Vineyards — Белое сухое</t>
        </is>
      </c>
      <c r="E14" t="inlineStr">
        <is>
          <t>есть похожее, но в названии вместо in balance написано in-chenin-blanc</t>
        </is>
      </c>
      <c r="F14" t="inlineStr">
        <is>
          <t>aya-organic-wine-vineyards-purity-in-chenin-blanc-shenen-blan-beloe-suhoe-11</t>
        </is>
      </c>
      <c r="G14" t="inlineStr">
        <is>
          <t>aya-organic-wine-vineyards-purity-in-syrah-sira-rozovoe-suhoe-132</t>
        </is>
      </c>
      <c r="H14" t="inlineStr">
        <is>
          <t>aya-organic-wine-vineyards-purity-in-syrah-sira-krasnoe-suhoe-146</t>
        </is>
      </c>
      <c r="I14" t="inlineStr">
        <is>
          <t>aya-organic-wine-vineyards-purity-in-merlot-merlo-rozovoe-suhoe-134</t>
        </is>
      </c>
      <c r="J14" t="inlineStr">
        <is>
          <t>aya-organic-wine-vineyards-purity-in-trinity-pino-nuar-rozovoe-suhoe-13</t>
        </is>
      </c>
      <c r="K14">
        <f>IF(C14="","",IFERROR(MATCH(C14,F14:J14,0),"нет"))</f>
        <v/>
      </c>
      <c r="L14">
        <f>IF(C14="","",IF(K14=1,1,0))</f>
        <v/>
      </c>
      <c r="M14">
        <f>IF(C14="","",IF(ISNUMBER(K14),1,0))</f>
        <v/>
      </c>
      <c r="N14" t="inlineStr">
        <is>
          <t>Purity in Chenin Blanc — AYA Organic Wine &amp; Vineyards — Белое сухое</t>
        </is>
      </c>
      <c r="O14" t="inlineStr">
        <is>
          <t>Purity in Syrah — AYA Organic Wine &amp; Vineyards — Розовое сухое</t>
        </is>
      </c>
      <c r="P14" t="inlineStr">
        <is>
          <t>Purity in Syrah — AYA Organic Wine &amp; Vineyards — Красное сухое</t>
        </is>
      </c>
      <c r="Q14" t="inlineStr">
        <is>
          <t>Purity in Merlot — AYA Organic Wine &amp; Vineyards — Розовое сухое</t>
        </is>
      </c>
      <c r="R14" t="inlineStr">
        <is>
          <t>Purity in Trinity — AYA Organic Wine &amp; Vineyards — Розовое сухое</t>
        </is>
      </c>
      <c r="S14" s="3" t="n">
        <v>0.9524672627449036</v>
      </c>
      <c r="T14" s="3" t="n">
        <v>0.04742055386304855</v>
      </c>
      <c r="U14" t="n">
        <v>612.1</v>
      </c>
    </row>
    <row r="15">
      <c r="A15" t="inlineStr">
        <is>
          <t>87.88_28-08-2026_16-56-20.webp</t>
        </is>
      </c>
      <c r="B15" t="inlineStr">
        <is>
          <t>не уверен</t>
        </is>
      </c>
      <c r="C15" t="inlineStr">
        <is>
          <t>massandra-muskatel-belyy-belye-sorta-vinograda-beloe-sladkoe-16</t>
        </is>
      </c>
      <c r="D15" t="inlineStr">
        <is>
          <t>Мускатель белый — Массандра — Белое сладкое</t>
        </is>
      </c>
      <c r="E15" t="inlineStr">
        <is>
          <t>есть такое, но год урожая отличается</t>
        </is>
      </c>
      <c r="F15" t="inlineStr">
        <is>
          <t>massandra-muskatel-belyy-belye-sorta-vinograda-beloe-sladkoe-16</t>
        </is>
      </c>
      <c r="G15" t="inlineStr">
        <is>
          <t>massandra-muskat-belyy-krasnogo-kamnya-beloe-sladkoe-13</t>
        </is>
      </c>
      <c r="H15" t="inlineStr">
        <is>
          <t>massandra-muskatel-rozovyy-belye-sorta-vinograda-rozovoe-sladkoe-16</t>
        </is>
      </c>
      <c r="I15" t="inlineStr">
        <is>
          <t>massandra-muskatel-chernyy-krasnye-sorta-vinograda-krasnoe-sladkoe-16</t>
        </is>
      </c>
      <c r="J15" t="inlineStr">
        <is>
          <t>massandra-muskat-belyy-yuzhnoberezhnyy-beloe-sladkoe-16</t>
        </is>
      </c>
      <c r="K15">
        <f>IF(C15="","",IFERROR(MATCH(C15,F15:J15,0),"нет"))</f>
        <v/>
      </c>
      <c r="L15">
        <f>IF(C15="","",IF(K15=1,1,0))</f>
        <v/>
      </c>
      <c r="M15">
        <f>IF(C15="","",IF(ISNUMBER(K15),1,0))</f>
        <v/>
      </c>
      <c r="N15" t="inlineStr">
        <is>
          <t>Мускатель белый — Массандра — Белое сладкое</t>
        </is>
      </c>
      <c r="O15" t="inlineStr">
        <is>
          <t>Мускат белый красного камня — Массандра — Белое сладкое</t>
        </is>
      </c>
      <c r="P15" t="inlineStr">
        <is>
          <t>Мускатель розовый — Массандра — Розовое сладкое</t>
        </is>
      </c>
      <c r="Q15" t="inlineStr">
        <is>
          <t>Мускатель черный — Массандра — Красное сладкое</t>
        </is>
      </c>
      <c r="R15" t="inlineStr">
        <is>
          <t>Мускат Белый Южнобережный — Массандра — Белое сладкое</t>
        </is>
      </c>
      <c r="S15" s="3" t="n">
        <v>0.9999921321868896</v>
      </c>
      <c r="T15" s="3" t="n">
        <v>7.338157388403488e-07</v>
      </c>
      <c r="U15" t="n">
        <v>723.3</v>
      </c>
    </row>
    <row r="16">
      <c r="A16" t="inlineStr">
        <is>
          <t>88.2_05-09-2026_16-29-06.webp</t>
        </is>
      </c>
      <c r="B16" t="inlineStr">
        <is>
          <t>нет в каталоге</t>
        </is>
      </c>
      <c r="F16" t="inlineStr">
        <is>
          <t>inkerman-shato-ruzh</t>
        </is>
      </c>
      <c r="G16" t="inlineStr">
        <is>
          <t>kuban-vino-kaberne-de-tamane-kaberne-sovinon-krasnoe-suhoe-125</t>
        </is>
      </c>
      <c r="H16" t="inlineStr">
        <is>
          <t>vinodelnya-begildeeva-kaberne-sovinon-krasnoe-suhoe-14</t>
        </is>
      </c>
      <c r="I16" t="inlineStr">
        <is>
          <t>inkermanskiy-zmv-winemakers-selection-saperavi-krasnoe-polusladkoe-12</t>
        </is>
      </c>
      <c r="J16" t="inlineStr">
        <is>
          <t>inkerman-shato-blan</t>
        </is>
      </c>
      <c r="K16">
        <f>IF(C16="","",IFERROR(MATCH(C16,F16:J16,0),"нет"))</f>
        <v/>
      </c>
      <c r="L16">
        <f>IF(C16="","",IF(K16=1,1,0))</f>
        <v/>
      </c>
      <c r="M16">
        <f>IF(C16="","",IF(ISNUMBER(K16),1,0))</f>
        <v/>
      </c>
      <c r="N16" t="inlineStr">
        <is>
          <t>Inkerman Шато Руж — Инкерманский ЗМВ — Красное полусухое</t>
        </is>
      </c>
      <c r="O16" t="inlineStr">
        <is>
          <t>Каберне де Тамань — Кубань-Вино — Красное сухое</t>
        </is>
      </c>
      <c r="P16" t="inlineStr">
        <is>
          <t>Каберне Совиньон — Винодельня Бегильдеева — Красное сухое</t>
        </is>
      </c>
      <c r="Q16" t="inlineStr">
        <is>
          <t>Winemaker's Selection Саперави — Инкерманский ЗМВ — Красное полусладкое</t>
        </is>
      </c>
      <c r="R16" t="inlineStr">
        <is>
          <t>Инкерман Шато Блан — Инкерманский ЗМВ — Белое полусухое</t>
        </is>
      </c>
      <c r="S16" s="3" t="n">
        <v>0.8160519599914551</v>
      </c>
      <c r="T16" s="3" t="n">
        <v>0.005498514976352453</v>
      </c>
      <c r="U16" t="n">
        <v>718</v>
      </c>
    </row>
    <row r="17">
      <c r="A17" t="inlineStr">
        <is>
          <t>88.38_20-08-2026_18-32-58.webp</t>
        </is>
      </c>
      <c r="B17" t="inlineStr">
        <is>
          <t>уверенно</t>
        </is>
      </c>
      <c r="C17" t="inlineStr">
        <is>
          <t>czitronnyj-magaracha-sovinon-blan</t>
        </is>
      </c>
      <c r="D17" t="inlineStr">
        <is>
          <t>Жемчужная 9 Цитрон, Совиньон блан — АРАТТИ — Белое полусухое</t>
        </is>
      </c>
      <c r="F17" t="inlineStr">
        <is>
          <t>czitronnyj-magaracha-sovinon-blan</t>
        </is>
      </c>
      <c r="G17" t="inlineStr">
        <is>
          <t>zhemchuzhnaya-9-risling-sovinon-blan</t>
        </is>
      </c>
      <c r="H17" t="inlineStr">
        <is>
          <t>zhemchuzhnaya-9-czitron-shardone-1</t>
        </is>
      </c>
      <c r="I17" t="inlineStr">
        <is>
          <t>zhemchuzhnaya-9-aligote-czitron</t>
        </is>
      </c>
      <c r="J17" t="inlineStr">
        <is>
          <t>zhemchuzhnaya-9-czitron-shardone</t>
        </is>
      </c>
      <c r="K17">
        <f>IF(C17="","",IFERROR(MATCH(C17,F17:J17,0),"нет"))</f>
        <v/>
      </c>
      <c r="L17">
        <f>IF(C17="","",IF(K17=1,1,0))</f>
        <v/>
      </c>
      <c r="M17">
        <f>IF(C17="","",IF(ISNUMBER(K17),1,0))</f>
        <v/>
      </c>
      <c r="N17" t="inlineStr">
        <is>
          <t>Жемчужная 9 Цитрон, Совиньон блан — АРАТТИ — Белое полусухое</t>
        </is>
      </c>
      <c r="O17" t="inlineStr">
        <is>
          <t>Жемчужная 9 Рислинг,Совиньон блан — АРАТТИ — Белое полусухое</t>
        </is>
      </c>
      <c r="P17" t="inlineStr">
        <is>
          <t>Жемчужная 9 Цитрон, Шардоне — АРАТТИ — Белое полусладкое</t>
        </is>
      </c>
      <c r="Q17" t="inlineStr">
        <is>
          <t>Жемчужная 9 Алиготе, Цитрон — АРАТТИ — Белое сухое</t>
        </is>
      </c>
      <c r="R17" t="inlineStr">
        <is>
          <t>Жемчужная 9 Цитрон, Шардоне — АРАТТИ — Белое сухое</t>
        </is>
      </c>
      <c r="S17" s="3" t="n">
        <v>0.9999997615814209</v>
      </c>
      <c r="T17" s="3" t="n">
        <v>9.931192579415438e-08</v>
      </c>
      <c r="U17" t="n">
        <v>636</v>
      </c>
    </row>
    <row r="18">
      <c r="A18" t="inlineStr">
        <is>
          <t>89.65_19-08-2026_19-48-39.webp</t>
        </is>
      </c>
      <c r="B18" t="inlineStr">
        <is>
          <t>уверенно</t>
        </is>
      </c>
      <c r="C18" t="inlineStr">
        <is>
          <t>rozovoe-zoloto</t>
        </is>
      </c>
      <c r="D18" t="inlineStr">
        <is>
          <t>Розовое золото — Табия — Розовое полусухое</t>
        </is>
      </c>
      <c r="F18" t="inlineStr">
        <is>
          <t>rozovoe-zoloto</t>
        </is>
      </c>
      <c r="G18" t="inlineStr">
        <is>
          <t>roze-2</t>
        </is>
      </c>
      <c r="H18" t="inlineStr">
        <is>
          <t>bukovinka</t>
        </is>
      </c>
      <c r="I18" t="inlineStr">
        <is>
          <t>rozovaya-pantera</t>
        </is>
      </c>
      <c r="J18" t="inlineStr">
        <is>
          <t>rubin-golodrigi</t>
        </is>
      </c>
      <c r="K18">
        <f>IF(C18="","",IFERROR(MATCH(C18,F18:J18,0),"нет"))</f>
        <v/>
      </c>
      <c r="L18">
        <f>IF(C18="","",IF(K18=1,1,0))</f>
        <v/>
      </c>
      <c r="M18">
        <f>IF(C18="","",IF(ISNUMBER(K18),1,0))</f>
        <v/>
      </c>
      <c r="N18" t="inlineStr">
        <is>
          <t>Розовое золото — Табия — Розовое полусухое</t>
        </is>
      </c>
      <c r="O18" t="inlineStr">
        <is>
          <t>Розе — Табия — Розовое сухое</t>
        </is>
      </c>
      <c r="P18" t="inlineStr">
        <is>
          <t>Буковинка — Табия — Белое полусухое</t>
        </is>
      </c>
      <c r="Q18" t="inlineStr">
        <is>
          <t>Розовая Пантера полусладкое розовое — АРАТТИ — Розовое полусладкое</t>
        </is>
      </c>
      <c r="R18" t="inlineStr">
        <is>
          <t>Рубин Голодриги  — Табия — Красное сухое</t>
        </is>
      </c>
      <c r="S18" s="3" t="n">
        <v>0.9999998807907104</v>
      </c>
      <c r="T18" s="3" t="n">
        <v>6.825602838489431e-08</v>
      </c>
      <c r="U18" t="n">
        <v>604.2</v>
      </c>
    </row>
    <row r="19">
      <c r="A19" t="inlineStr">
        <is>
          <t>90.5_02-09-2026_10-32-11.webp</t>
        </is>
      </c>
      <c r="B19" t="inlineStr">
        <is>
          <t>нет в каталоге</t>
        </is>
      </c>
      <c r="F19" t="inlineStr">
        <is>
          <t>inkermanskiy-zmv-inkerman-polusladkoe-roze-aligote-rozovoe-135</t>
        </is>
      </c>
      <c r="G19" t="inlineStr">
        <is>
          <t>inkerman-muskatnoe-beloe</t>
        </is>
      </c>
      <c r="H19" t="inlineStr">
        <is>
          <t>inkerman-shato-ruzh</t>
        </is>
      </c>
      <c r="I19" t="inlineStr">
        <is>
          <t>inkermanskiy-zmv-inkerman-rozovoe-polusladkoe-rkatsiteli-12</t>
        </is>
      </c>
      <c r="J19" t="inlineStr">
        <is>
          <t>inkerman-shato-blan</t>
        </is>
      </c>
      <c r="K19">
        <f>IF(C19="","",IFERROR(MATCH(C19,F19:J19,0),"нет"))</f>
        <v/>
      </c>
      <c r="L19">
        <f>IF(C19="","",IF(K19=1,1,0))</f>
        <v/>
      </c>
      <c r="M19">
        <f>IF(C19="","",IF(ISNUMBER(K19),1,0))</f>
        <v/>
      </c>
      <c r="N19" t="inlineStr">
        <is>
          <t>Inkerman полусладкое розе — Инкерманский ЗМВ — Розовое полусладкое</t>
        </is>
      </c>
      <c r="O19" t="inlineStr">
        <is>
          <t>Inkerman Мускатное белое — Инкерманский ЗМВ — Белое полусладкое</t>
        </is>
      </c>
      <c r="P19" t="inlineStr">
        <is>
          <t>Inkerman Шато Руж — Инкерманский ЗМВ — Красное полусухое</t>
        </is>
      </c>
      <c r="Q19" t="inlineStr">
        <is>
          <t>Инкерман Розовое полусладкое — Инкерманский ЗМВ — Розовое полусладкое</t>
        </is>
      </c>
      <c r="R19" t="inlineStr">
        <is>
          <t>Инкерман Шато Блан — Инкерманский ЗМВ — Белое полусухое</t>
        </is>
      </c>
      <c r="S19" s="3" t="n">
        <v>0.9528070688247681</v>
      </c>
      <c r="T19" s="3" t="n">
        <v>1.306259605371451e-06</v>
      </c>
      <c r="U19" t="n">
        <v>787.9</v>
      </c>
    </row>
    <row r="20">
      <c r="A20" t="inlineStr">
        <is>
          <t>91.07_20-08-2026_18-37-46.webp</t>
        </is>
      </c>
      <c r="B20" t="inlineStr">
        <is>
          <t>уверенно</t>
        </is>
      </c>
      <c r="C20" t="inlineStr">
        <is>
          <t>aratti-kaberne-sovinon-2021-krasnoe-suhoe</t>
        </is>
      </c>
      <c r="D20" t="inlineStr">
        <is>
          <t>АРАТТИ Каберне Совиньон 2021 красное сухое — АРАТТИ — Красное сухое</t>
        </is>
      </c>
      <c r="F20" t="inlineStr">
        <is>
          <t>aratti-kaberne-sovinon-2021-krasnoe-suhoe</t>
        </is>
      </c>
      <c r="G20" t="inlineStr">
        <is>
          <t>aratti-kaberne-sovinon-2020-krasnoe-suhoe</t>
        </is>
      </c>
      <c r="H20" t="inlineStr">
        <is>
          <t>aratti-kaberne-po-belomu-1</t>
        </is>
      </c>
      <c r="I20" t="inlineStr">
        <is>
          <t>aratti-kaberne-po-belomu</t>
        </is>
      </c>
      <c r="J20" t="inlineStr">
        <is>
          <t>aratti-sovinon-blan-beloe-polusuhoe</t>
        </is>
      </c>
      <c r="K20">
        <f>IF(C20="","",IFERROR(MATCH(C20,F20:J20,0),"нет"))</f>
        <v/>
      </c>
      <c r="L20">
        <f>IF(C20="","",IF(K20=1,1,0))</f>
        <v/>
      </c>
      <c r="M20">
        <f>IF(C20="","",IF(ISNUMBER(K20),1,0))</f>
        <v/>
      </c>
      <c r="N20" t="inlineStr">
        <is>
          <t>АРАТТИ Каберне Совиньон 2021 красное сухое — АРАТТИ — Красное сухое</t>
        </is>
      </c>
      <c r="O20" t="inlineStr">
        <is>
          <t>АРАТТИ Каберне Совиньон 2020 красное сухое — АРАТТИ — Красное сухое</t>
        </is>
      </c>
      <c r="P20" t="inlineStr">
        <is>
          <t>АРАТТИ Каберне по-белому — АРАТТИ — Розовое полусухое</t>
        </is>
      </c>
      <c r="Q20" t="inlineStr">
        <is>
          <t>АРАТТИ Каберне по-белому — АРАТТИ — Красное сухое</t>
        </is>
      </c>
      <c r="R20" t="inlineStr">
        <is>
          <t>АРАТТИ Совиньон блан белое полусухое — АРАТТИ — Белое полусухое</t>
        </is>
      </c>
      <c r="S20" s="3" t="n">
        <v>0.9999948740005493</v>
      </c>
      <c r="T20" s="3" t="n">
        <v>5.043451096753415e-07</v>
      </c>
      <c r="U20" t="n">
        <v>639.1</v>
      </c>
    </row>
    <row r="21">
      <c r="A21" t="inlineStr">
        <is>
          <t>91.43_02-09-2026_12-08-50.webp</t>
        </is>
      </c>
      <c r="B21" t="inlineStr">
        <is>
          <t>уверенно</t>
        </is>
      </c>
      <c r="C21" t="inlineStr">
        <is>
          <t>merlo-2</t>
        </is>
      </c>
      <c r="D21" t="inlineStr">
        <is>
          <t>Мерло — Литавщук. Litavshchuk vineyards &amp; winery — Красное сухое</t>
        </is>
      </c>
      <c r="F21" t="inlineStr">
        <is>
          <t>merlo-2</t>
        </is>
      </c>
      <c r="G21" t="inlineStr">
        <is>
          <t>vinodelnya-begildeeva-merlo-krasnoe-suhoe-14</t>
        </is>
      </c>
      <c r="H21" t="inlineStr">
        <is>
          <t>merlo</t>
        </is>
      </c>
      <c r="I21" t="inlineStr">
        <is>
          <t>vinodelnya-begildeeva-kaberne-sovinon-merlo-krasnoe-suhoe-14</t>
        </is>
      </c>
      <c r="J21" t="inlineStr">
        <is>
          <t>vinnyy-kooperativ-intuitsiya-kaberne-sovinon-merlo-saperavi-krasnoe-suhoe-128</t>
        </is>
      </c>
      <c r="K21">
        <f>IF(C21="","",IFERROR(MATCH(C21,F21:J21,0),"нет"))</f>
        <v/>
      </c>
      <c r="L21">
        <f>IF(C21="","",IF(K21=1,1,0))</f>
        <v/>
      </c>
      <c r="M21">
        <f>IF(C21="","",IF(ISNUMBER(K21),1,0))</f>
        <v/>
      </c>
      <c r="N21" t="inlineStr">
        <is>
          <t>Мерло — Литавщук. Litavshchuk vineyards &amp; winery — Красное сухое</t>
        </is>
      </c>
      <c r="O21" t="inlineStr">
        <is>
          <t>Мерло — Винодельня Бегильдеева — Красное сухое</t>
        </is>
      </c>
      <c r="P21" t="inlineStr">
        <is>
          <t>Мерло — Галицкий и Галицкий — Красное сухое</t>
        </is>
      </c>
      <c r="Q21" t="inlineStr">
        <is>
          <t>Каберне Совиньон – Мерло — Винодельня Бегильдеева — Красное сухое</t>
        </is>
      </c>
      <c r="R21" t="inlineStr">
        <is>
          <t>Каберне Совиньон - Мерло — Винный кооператив Интуиция — Красное сухое</t>
        </is>
      </c>
      <c r="S21" s="3" t="n">
        <v>0.9999994039535522</v>
      </c>
      <c r="T21" s="3" t="n">
        <v>5.715004363082699e-07</v>
      </c>
      <c r="U21" t="n">
        <v>927.6</v>
      </c>
    </row>
    <row r="22">
      <c r="A22" t="inlineStr">
        <is>
          <t>92.21_19-08-2026_18-57-31.webp</t>
        </is>
      </c>
      <c r="B22" t="inlineStr">
        <is>
          <t>уверенно</t>
        </is>
      </c>
      <c r="C22" t="inlineStr">
        <is>
          <t>belaya-lvicza</t>
        </is>
      </c>
      <c r="D22" t="inlineStr">
        <is>
          <t>Белая Львица белое полусладкое — АРАТТИ — Белое полусладкое</t>
        </is>
      </c>
      <c r="F22" t="inlineStr">
        <is>
          <t>belaya-lvicza</t>
        </is>
      </c>
      <c r="G22" t="inlineStr">
        <is>
          <t>chernaya-lvicza-polusladkoe-krasnoe</t>
        </is>
      </c>
      <c r="H22" t="inlineStr">
        <is>
          <t>rozovaya-pantera</t>
        </is>
      </c>
      <c r="I22" t="inlineStr">
        <is>
          <t>aratti-muskat-belyj-suhoe</t>
        </is>
      </c>
      <c r="J22" t="inlineStr">
        <is>
          <t>aratti-muskat-belyj-polusuhoe</t>
        </is>
      </c>
      <c r="K22">
        <f>IF(C22="","",IFERROR(MATCH(C22,F22:J22,0),"нет"))</f>
        <v/>
      </c>
      <c r="L22">
        <f>IF(C22="","",IF(K22=1,1,0))</f>
        <v/>
      </c>
      <c r="M22">
        <f>IF(C22="","",IF(ISNUMBER(K22),1,0))</f>
        <v/>
      </c>
      <c r="N22" t="inlineStr">
        <is>
          <t>Белая Львица белое полусладкое — АРАТТИ — Белое полусладкое</t>
        </is>
      </c>
      <c r="O22" t="inlineStr">
        <is>
          <t>Черная Львица полусладкое красное — АРАТТИ — Красное полусладкое</t>
        </is>
      </c>
      <c r="P22" t="inlineStr">
        <is>
          <t>Розовая Пантера полусладкое розовое — АРАТТИ — Розовое полусладкое</t>
        </is>
      </c>
      <c r="Q22" t="inlineStr">
        <is>
          <t>АРАТТИ Мускат белый сухое — АРАТТИ — Белое сухое</t>
        </is>
      </c>
      <c r="R22" t="inlineStr">
        <is>
          <t>АРАТТИ Мускат белый полусухое — АРАТТИ — Белое полусухое</t>
        </is>
      </c>
      <c r="S22" s="3" t="n">
        <v>0.9999998807907104</v>
      </c>
      <c r="T22" s="3" t="n">
        <v>7.734421103577915e-08</v>
      </c>
      <c r="U22" t="n">
        <v>630.4</v>
      </c>
    </row>
    <row r="23">
      <c r="A23" t="inlineStr">
        <is>
          <t>92.6_07-09-2026_11-04-40.webp</t>
        </is>
      </c>
      <c r="B23" t="inlineStr">
        <is>
          <t>уверенно</t>
        </is>
      </c>
      <c r="C23" t="inlineStr">
        <is>
          <t>aratti-kaberne-sovinon-2020-krasnoe-suhoe</t>
        </is>
      </c>
      <c r="D23" t="inlineStr">
        <is>
          <t>АРАТТИ Каберне Совиньон 2020 красное сухое — АРАТТИ — Красное сухое</t>
        </is>
      </c>
      <c r="F23" t="inlineStr">
        <is>
          <t>aratti-kaberne-sovinon-2020-krasnoe-suhoe</t>
        </is>
      </c>
      <c r="G23" t="inlineStr">
        <is>
          <t>aratti-kaberne-sovinon-2021-krasnoe-suhoe</t>
        </is>
      </c>
      <c r="H23" t="inlineStr">
        <is>
          <t>artvin-kaberne-sovinon-grand-rezerv-krasnoe-suhoe-13</t>
        </is>
      </c>
      <c r="I23" t="inlineStr">
        <is>
          <t>vinodelnya-begildeeva-kaberne-sovinon-krasnoe-suhoe-14</t>
        </is>
      </c>
      <c r="J23" t="inlineStr">
        <is>
          <t>aratti-sovinon-blan-beloe-polusuhoe</t>
        </is>
      </c>
      <c r="K23">
        <f>IF(C23="","",IFERROR(MATCH(C23,F23:J23,0),"нет"))</f>
        <v/>
      </c>
      <c r="L23">
        <f>IF(C23="","",IF(K23=1,1,0))</f>
        <v/>
      </c>
      <c r="M23">
        <f>IF(C23="","",IF(ISNUMBER(K23),1,0))</f>
        <v/>
      </c>
      <c r="N23" t="inlineStr">
        <is>
          <t>АРАТТИ Каберне Совиньон 2020 красное сухое — АРАТТИ — Красное сухое</t>
        </is>
      </c>
      <c r="O23" t="inlineStr">
        <is>
          <t>АРАТТИ Каберне Совиньон 2021 красное сухое — АРАТТИ — Красное сухое</t>
        </is>
      </c>
      <c r="P23" t="inlineStr">
        <is>
          <t>Каберне Совиньон Гранд Резерв — Артвин — Красное сухое</t>
        </is>
      </c>
      <c r="Q23" t="inlineStr">
        <is>
          <t>Каберне Совиньон — Винодельня Бегильдеева — Красное сухое</t>
        </is>
      </c>
      <c r="R23" t="inlineStr">
        <is>
          <t>АРАТТИ Совиньон блан белое полусухое — АРАТТИ — Белое полусухое</t>
        </is>
      </c>
      <c r="S23" s="3" t="n">
        <v>0.9999997615814209</v>
      </c>
      <c r="T23" s="3" t="n">
        <v>8.764246217651817e-08</v>
      </c>
      <c r="U23" t="n">
        <v>613.9</v>
      </c>
    </row>
    <row r="24">
      <c r="A24" t="inlineStr">
        <is>
          <t>92.94_21-08-2026_19-37-08.webp</t>
        </is>
      </c>
      <c r="B24" t="inlineStr">
        <is>
          <t>не уверен</t>
        </is>
      </c>
      <c r="C24" t="inlineStr">
        <is>
          <t>denisov-winery-sovinon-blan-beloe-suhoe-115</t>
        </is>
      </c>
      <c r="D24" t="inlineStr">
        <is>
          <t>Совиньон Блан — Denisov Winery — Белое сухое</t>
        </is>
      </c>
      <c r="E24" t="inlineStr">
        <is>
          <t>есть такое, но этикетка черная, а не белая</t>
        </is>
      </c>
      <c r="F24" t="inlineStr">
        <is>
          <t>denisov-winery-sovinon-blan-beloe-suhoe-115</t>
        </is>
      </c>
      <c r="G24" t="inlineStr">
        <is>
          <t>dubinin-winery-sovinon-blan-beloe-suhoe-12</t>
        </is>
      </c>
      <c r="H24" t="inlineStr">
        <is>
          <t>zhemchuzhnaya-9-sovinon-blan-aligote</t>
        </is>
      </c>
      <c r="I24" t="inlineStr">
        <is>
          <t>sovinon-blan</t>
        </is>
      </c>
      <c r="J24" t="inlineStr">
        <is>
          <t>blagolyubov-sovinon-blan-beloe-suhoe-125</t>
        </is>
      </c>
      <c r="K24">
        <f>IF(C24="","",IFERROR(MATCH(C24,F24:J24,0),"нет"))</f>
        <v/>
      </c>
      <c r="L24">
        <f>IF(C24="","",IF(K24=1,1,0))</f>
        <v/>
      </c>
      <c r="M24">
        <f>IF(C24="","",IF(ISNUMBER(K24),1,0))</f>
        <v/>
      </c>
      <c r="N24" t="inlineStr">
        <is>
          <t>Совиньон Блан — Denisov Winery — Белое сухое</t>
        </is>
      </c>
      <c r="O24" t="inlineStr">
        <is>
          <t>Совиньон Блан — Dubinin Winery — Белое сухое</t>
        </is>
      </c>
      <c r="P24" t="inlineStr">
        <is>
          <t>Жемчужная 9 Совиньон блан, Алиготе — АРАТТИ — Белое сухое</t>
        </is>
      </c>
      <c r="Q24" t="inlineStr">
        <is>
          <t>Совиньон Блан — Литавщук. Litavshchuk vineyards &amp; winery — Белое полусладкое</t>
        </is>
      </c>
      <c r="R24" t="inlineStr">
        <is>
          <t>Совиньон Блан — Благолюбов — Белое сухое</t>
        </is>
      </c>
      <c r="S24" s="3" t="n">
        <v>0.9999996423721313</v>
      </c>
      <c r="T24" s="3" t="n">
        <v>2.382368791131739e-07</v>
      </c>
      <c r="U24" t="n">
        <v>924.4</v>
      </c>
    </row>
    <row r="25">
      <c r="A25" t="inlineStr">
        <is>
          <t>92.96_19-08-2026_21-07-12.webp</t>
        </is>
      </c>
      <c r="B25" t="inlineStr">
        <is>
          <t>уверенно</t>
        </is>
      </c>
      <c r="C25" t="inlineStr">
        <is>
          <t>aratti-kaberne-sovinon-2020-krasnoe-suhoe</t>
        </is>
      </c>
      <c r="D25" t="inlineStr">
        <is>
          <t>АРАТТИ Каберне Совиньон 2020 красное сухое — АРАТТИ — Красное сухое</t>
        </is>
      </c>
      <c r="F25" t="inlineStr">
        <is>
          <t>aratti-kaberne-sovinon-2020-krasnoe-suhoe</t>
        </is>
      </c>
      <c r="G25" t="inlineStr">
        <is>
          <t>aratti-kaberne-sovinon-2021-krasnoe-suhoe</t>
        </is>
      </c>
      <c r="H25" t="inlineStr">
        <is>
          <t>artvin-kaberne-sovinon-grand-rezerv-krasnoe-suhoe-13</t>
        </is>
      </c>
      <c r="I25" t="inlineStr">
        <is>
          <t>vinodelnya-begildeeva-kaberne-sovinon-krasnoe-suhoe-14</t>
        </is>
      </c>
      <c r="J25" t="inlineStr">
        <is>
          <t>usadba-markoth-kaberne-sovinon-rezerv-krasnoe-suhoe-13</t>
        </is>
      </c>
      <c r="K25">
        <f>IF(C25="","",IFERROR(MATCH(C25,F25:J25,0),"нет"))</f>
        <v/>
      </c>
      <c r="L25">
        <f>IF(C25="","",IF(K25=1,1,0))</f>
        <v/>
      </c>
      <c r="M25">
        <f>IF(C25="","",IF(ISNUMBER(K25),1,0))</f>
        <v/>
      </c>
      <c r="N25" t="inlineStr">
        <is>
          <t>АРАТТИ Каберне Совиньон 2020 красное сухое — АРАТТИ — Красное сухое</t>
        </is>
      </c>
      <c r="O25" t="inlineStr">
        <is>
          <t>АРАТТИ Каберне Совиньон 2021 красное сухое — АРАТТИ — Красное сухое</t>
        </is>
      </c>
      <c r="P25" t="inlineStr">
        <is>
          <t>Каберне Совиньон Гранд Резерв — Артвин — Красное сухое</t>
        </is>
      </c>
      <c r="Q25" t="inlineStr">
        <is>
          <t>Каберне Совиньон — Винодельня Бегильдеева — Красное сухое</t>
        </is>
      </c>
      <c r="R25" t="inlineStr">
        <is>
          <t>Каберне Совиньон Резерв — Усадьба Маркотх — Красное сухое</t>
        </is>
      </c>
      <c r="S25" s="3" t="n">
        <v>0.9999996423721313</v>
      </c>
      <c r="T25" s="3" t="n">
        <v>1.27519015791222e-07</v>
      </c>
      <c r="U25" t="n">
        <v>763</v>
      </c>
    </row>
    <row r="26">
      <c r="A26" t="inlineStr">
        <is>
          <t>92.99_02-09-2026_04-20-19.webp</t>
        </is>
      </c>
      <c r="B26" t="inlineStr">
        <is>
          <t>нет в каталоге</t>
        </is>
      </c>
      <c r="F26" t="inlineStr">
        <is>
          <t>kuban-vino-vysokiy-bereg-grafit-roze-kaberne-sovinon-rozovoe-suhoe-12</t>
        </is>
      </c>
      <c r="G26" t="inlineStr">
        <is>
          <t>usadba-divnomorskoe-rose-vione-rozovoe-suhoe-125</t>
        </is>
      </c>
      <c r="H26" t="inlineStr">
        <is>
          <t>mont-blanc-blanc-de-blancs</t>
        </is>
      </c>
      <c r="I26" t="inlineStr">
        <is>
          <t>vinodelnya-myshako-rose-de-noirs-pino-nuar-rozovoe-bryut-123</t>
        </is>
      </c>
      <c r="J26" t="inlineStr">
        <is>
          <t>rozovaya-pantera</t>
        </is>
      </c>
      <c r="K26">
        <f>IF(C26="","",IFERROR(MATCH(C26,F26:J26,0),"нет"))</f>
        <v/>
      </c>
      <c r="L26">
        <f>IF(C26="","",IF(K26=1,1,0))</f>
        <v/>
      </c>
      <c r="M26">
        <f>IF(C26="","",IF(ISNUMBER(K26),1,0))</f>
        <v/>
      </c>
      <c r="N26" t="inlineStr">
        <is>
          <t>Высокий Берег Графит Розе — Кубань-Вино — Розовое сухое</t>
        </is>
      </c>
      <c r="O26" t="inlineStr">
        <is>
          <t>Rose — Усадьба Дивноморское — Розовое сухое</t>
        </is>
      </c>
      <c r="P26" t="inlineStr">
        <is>
          <t>Mont Blanc, Blanc de Blancs — Шато АЛВИСА — Белое брют</t>
        </is>
      </c>
      <c r="Q26" t="inlineStr">
        <is>
          <t>Rose De Noirs — Мысхако — Розовое брют</t>
        </is>
      </c>
      <c r="R26" t="inlineStr">
        <is>
          <t>Розовая Пантера полусладкое розовое — АРАТТИ — Розовое полусладкое</t>
        </is>
      </c>
      <c r="S26" s="3" t="n">
        <v>0.04140127450227737</v>
      </c>
      <c r="T26" s="3" t="n">
        <v>0.9422886371612549</v>
      </c>
      <c r="U26" t="n">
        <v>801.5</v>
      </c>
    </row>
    <row r="27">
      <c r="A27" t="inlineStr">
        <is>
          <t>93.31_05-09-2026_13-39-37.webp</t>
        </is>
      </c>
      <c r="B27" t="inlineStr">
        <is>
          <t>уверенно</t>
        </is>
      </c>
      <c r="C27" t="inlineStr">
        <is>
          <t>golubitskoe-estate-noble-selection-red-blend-kaberne-sovinon-krasnoe-suhoe-136</t>
        </is>
      </c>
      <c r="D27" t="inlineStr">
        <is>
          <t>Noble Selection Red Blend — Golubitskoe Estate — Красное сухое</t>
        </is>
      </c>
      <c r="F27" t="inlineStr">
        <is>
          <t>golubitskoe-estate-noble-selection-red-blend-kaberne-sovinon-krasnoe-suhoe-136</t>
        </is>
      </c>
      <c r="G27" t="inlineStr">
        <is>
          <t>golubitskoe-estate-kaberne-sovinon-noble-selection-krasnoe-suhoe-133</t>
        </is>
      </c>
      <c r="H27" t="inlineStr">
        <is>
          <t>golubitskoe-estate-noble-selection-white-blend-shardone-beloe-suhoe-135</t>
        </is>
      </c>
      <c r="I27" t="inlineStr">
        <is>
          <t>golubitskoe-estate-red-blend-kaberne-sovinon-krasnoe-suhoe-136</t>
        </is>
      </c>
      <c r="J27" t="inlineStr">
        <is>
          <t>golubitskoe-estate-kaberne-sovinon-rezerv-krasnoe-suhoe-125</t>
        </is>
      </c>
      <c r="K27">
        <f>IF(C27="","",IFERROR(MATCH(C27,F27:J27,0),"нет"))</f>
        <v/>
      </c>
      <c r="L27">
        <f>IF(C27="","",IF(K27=1,1,0))</f>
        <v/>
      </c>
      <c r="M27">
        <f>IF(C27="","",IF(ISNUMBER(K27),1,0))</f>
        <v/>
      </c>
      <c r="N27" t="inlineStr">
        <is>
          <t>Noble Selection Red Blend — Golubitskoe Estate — Красное сухое</t>
        </is>
      </c>
      <c r="O27" t="inlineStr">
        <is>
          <t>Каберне Совиньон Noble Selection — Golubitskoe Estate — Красное сухое</t>
        </is>
      </c>
      <c r="P27" t="inlineStr">
        <is>
          <t>Noble Selection White Blend — Golubitskoe Estate — Белое сухое</t>
        </is>
      </c>
      <c r="Q27" t="inlineStr">
        <is>
          <t>Red Blend — Golubitskoe Estate — Красное сухое</t>
        </is>
      </c>
      <c r="R27" t="inlineStr">
        <is>
          <t>Каберне Совиньон Резерв — Golubitskoe Estate — Красное сухое</t>
        </is>
      </c>
      <c r="S27" s="3" t="n">
        <v>0.9999986886978149</v>
      </c>
      <c r="T27" s="3" t="n">
        <v>5.715000384043378e-07</v>
      </c>
      <c r="U27" t="n">
        <v>656.7</v>
      </c>
    </row>
    <row r="28">
      <c r="A28" t="inlineStr">
        <is>
          <t>93.43_05-09-2026_13-34-45.webp</t>
        </is>
      </c>
      <c r="B28" t="inlineStr">
        <is>
          <t>уверенно</t>
        </is>
      </c>
      <c r="C28" t="inlineStr">
        <is>
          <t>denisov_pet_nat_rubin</t>
        </is>
      </c>
      <c r="D28" t="inlineStr">
        <is>
          <t>Пет-Нат Рубин — Denisov Winery — Розовое экстра брют</t>
        </is>
      </c>
      <c r="F28" t="inlineStr">
        <is>
          <t>denisov_pet_nat_rubin</t>
        </is>
      </c>
      <c r="G28" t="inlineStr">
        <is>
          <t>denisov-winery-petnat-tsitron-risling-tsitronnyy-magaracha-beloe-ekstra-bryut-102</t>
        </is>
      </c>
      <c r="H28" t="inlineStr">
        <is>
          <t>denisov-winery-petnat-risling-beloe-ekstra-bryut-10</t>
        </is>
      </c>
      <c r="I28" t="inlineStr">
        <is>
          <t>fioletovyj-rannij-petnat</t>
        </is>
      </c>
      <c r="J28" t="inlineStr">
        <is>
          <t>denisov-winery-petnat-rkatsiteli-beloe-ekstra-bryut-107</t>
        </is>
      </c>
      <c r="K28">
        <f>IF(C28="","",IFERROR(MATCH(C28,F28:J28,0),"нет"))</f>
        <v/>
      </c>
      <c r="L28">
        <f>IF(C28="","",IF(K28=1,1,0))</f>
        <v/>
      </c>
      <c r="M28">
        <f>IF(C28="","",IF(ISNUMBER(K28),1,0))</f>
        <v/>
      </c>
      <c r="N28" t="inlineStr">
        <is>
          <t>Пет-Нат Рубин — Denisov Winery — Розовое экстра брют</t>
        </is>
      </c>
      <c r="O28" t="inlineStr">
        <is>
          <t>Петнат Цитрон - Рислинг — Denisov Winery — Белое экстра брют</t>
        </is>
      </c>
      <c r="P28" t="inlineStr">
        <is>
          <t>Петнат Рислинг — Denisov Winery — Белое экстра брют</t>
        </is>
      </c>
      <c r="Q28" t="inlineStr">
        <is>
          <t>Фиолетовый Ранний петнат — Гусевъ — Белое экстра брют</t>
        </is>
      </c>
      <c r="R28" t="inlineStr">
        <is>
          <t>Петнат Ркацители — Denisov Winery — Белое экстра брют</t>
        </is>
      </c>
      <c r="S28" s="3" t="n">
        <v>1</v>
      </c>
      <c r="T28" s="3" t="n">
        <v>1.52299808320322e-08</v>
      </c>
      <c r="U28" t="n">
        <v>669.4</v>
      </c>
    </row>
    <row r="29">
      <c r="A29" t="inlineStr">
        <is>
          <t>93.68_19-08-2026_20-44-28.webp</t>
        </is>
      </c>
      <c r="B29" t="inlineStr">
        <is>
          <t>уверенно</t>
        </is>
      </c>
      <c r="C29" t="inlineStr">
        <is>
          <t>zakat-denisov-vajneri</t>
        </is>
      </c>
      <c r="D29" t="inlineStr">
        <is>
          <t>Закат. Денисов Вайнери — Denisov Winery — Розовое сухое</t>
        </is>
      </c>
      <c r="F29" t="inlineStr">
        <is>
          <t>zakat-denisov-vajneri</t>
        </is>
      </c>
      <c r="G29" t="inlineStr">
        <is>
          <t>znoj-denisov-vajneri</t>
        </is>
      </c>
      <c r="H29" t="inlineStr">
        <is>
          <t>rozovaya-pantera</t>
        </is>
      </c>
      <c r="I29" t="inlineStr">
        <is>
          <t>zhemchuzhnaya-9-pino-nuar-muskat-rozovyj</t>
        </is>
      </c>
      <c r="J29" t="inlineStr">
        <is>
          <t>vinodelnya-78-muskat-polusladkoe-muskat-ottonel-beloe-115</t>
        </is>
      </c>
      <c r="K29">
        <f>IF(C29="","",IFERROR(MATCH(C29,F29:J29,0),"нет"))</f>
        <v/>
      </c>
      <c r="L29">
        <f>IF(C29="","",IF(K29=1,1,0))</f>
        <v/>
      </c>
      <c r="M29">
        <f>IF(C29="","",IF(ISNUMBER(K29),1,0))</f>
        <v/>
      </c>
      <c r="N29" t="inlineStr">
        <is>
          <t>Закат. Денисов Вайнери — Denisov Winery — Розовое сухое</t>
        </is>
      </c>
      <c r="O29" t="inlineStr">
        <is>
          <t>Зной. Денисов Вайнери — Denisov Winery — Белое сухое</t>
        </is>
      </c>
      <c r="P29" t="inlineStr">
        <is>
          <t>Розовая Пантера полусладкое розовое — АРАТТИ — Розовое полусладкое</t>
        </is>
      </c>
      <c r="Q29" t="inlineStr">
        <is>
          <t>Жемчужная 9 Пино Нуар, Мускат Розовый — АРАТТИ — Розовое сухое</t>
        </is>
      </c>
      <c r="R29" t="inlineStr">
        <is>
          <t>Мускат полусладкое — Винодельня 78 — Белое полусладкое</t>
        </is>
      </c>
      <c r="S29" s="3" t="n">
        <v>0.9999991655349731</v>
      </c>
      <c r="T29" s="3" t="n">
        <v>5.043472697252582e-07</v>
      </c>
      <c r="U29" t="n">
        <v>617.4</v>
      </c>
    </row>
    <row r="30">
      <c r="A30" t="inlineStr">
        <is>
          <t>93.84_02-09-2026_17-13-04.webp</t>
        </is>
      </c>
      <c r="B30" t="inlineStr">
        <is>
          <t>уверенно</t>
        </is>
      </c>
      <c r="C30" t="inlineStr">
        <is>
          <t>zakat-denisov-vajneri</t>
        </is>
      </c>
      <c r="D30" t="inlineStr">
        <is>
          <t>Закат. Денисов Вайнери — Denisov Winery — Розовое сухое</t>
        </is>
      </c>
      <c r="F30" t="inlineStr">
        <is>
          <t>zakat-denisov-vajneri</t>
        </is>
      </c>
      <c r="G30" t="inlineStr">
        <is>
          <t>vinodelnya-78-muskat-polusladkoe-muskat-ottonel-beloe-115</t>
        </is>
      </c>
      <c r="H30" t="inlineStr">
        <is>
          <t>zhemchuzhnaya-9-pino-nuar-muskat-rozovyj</t>
        </is>
      </c>
      <c r="I30" t="inlineStr">
        <is>
          <t>rozovaya-pantera</t>
        </is>
      </c>
      <c r="J30" t="inlineStr">
        <is>
          <t>vinodelnya-vedernikov-tsimlyanskiy-chernyy-rozovyy-rozovoe-suhoe-125</t>
        </is>
      </c>
      <c r="K30">
        <f>IF(C30="","",IFERROR(MATCH(C30,F30:J30,0),"нет"))</f>
        <v/>
      </c>
      <c r="L30">
        <f>IF(C30="","",IF(K30=1,1,0))</f>
        <v/>
      </c>
      <c r="M30">
        <f>IF(C30="","",IF(ISNUMBER(K30),1,0))</f>
        <v/>
      </c>
      <c r="N30" t="inlineStr">
        <is>
          <t>Закат. Денисов Вайнери — Denisov Winery — Розовое сухое</t>
        </is>
      </c>
      <c r="O30" t="inlineStr">
        <is>
          <t>Мускат полусладкое — Винодельня 78 — Белое полусладкое</t>
        </is>
      </c>
      <c r="P30" t="inlineStr">
        <is>
          <t>Жемчужная 9 Пино Нуар, Мускат Розовый — АРАТТИ — Розовое сухое</t>
        </is>
      </c>
      <c r="Q30" t="inlineStr">
        <is>
          <t>Розовая Пантера полусладкое розовое — АРАТТИ — Розовое полусладкое</t>
        </is>
      </c>
      <c r="R30" t="inlineStr">
        <is>
          <t>Цимлянский Черный розовый — Ведерниковъ — Розовое сухое</t>
        </is>
      </c>
      <c r="S30" s="3" t="n">
        <v>0.9999998807907104</v>
      </c>
      <c r="T30" s="3" t="n">
        <v>7.734421103577915e-08</v>
      </c>
      <c r="U30" t="n">
        <v>584.2</v>
      </c>
    </row>
    <row r="31">
      <c r="A31" t="inlineStr">
        <is>
          <t>93.95_05-09-2026_15-29-36.webp</t>
        </is>
      </c>
      <c r="B31" t="inlineStr">
        <is>
          <t>нет в каталоге</t>
        </is>
      </c>
      <c r="F31" t="inlineStr">
        <is>
          <t>fanagoriya-alveus-ultra-cuvee-ekstra-bryut-rozovoe-merlo-12</t>
        </is>
      </c>
      <c r="G31" t="inlineStr">
        <is>
          <t>novyy-svet-dom-shampanskih-vin-igristoe-vino-vyderzhannoe-polusladkoe-rozovoe-novyy-svet-pino-fran-135</t>
        </is>
      </c>
      <c r="H31" t="inlineStr">
        <is>
          <t>abrau-dyurso-imperial-kyuve-pino-nuar-rozovoe-bryut-125</t>
        </is>
      </c>
      <c r="I31" t="inlineStr">
        <is>
          <t>fanagoriya-alveus-ultra-cuvee-brut-shardone-beloe-bryut-12</t>
        </is>
      </c>
      <c r="J31" t="inlineStr">
        <is>
          <t>fanagoriya-alveus-ultra-cuvee-ekstra-bryut-beloe-risling-reynskiy-12</t>
        </is>
      </c>
      <c r="K31">
        <f>IF(C31="","",IFERROR(MATCH(C31,F31:J31,0),"нет"))</f>
        <v/>
      </c>
      <c r="L31">
        <f>IF(C31="","",IF(K31=1,1,0))</f>
        <v/>
      </c>
      <c r="M31">
        <f>IF(C31="","",IF(ISNUMBER(K31),1,0))</f>
        <v/>
      </c>
      <c r="N31" t="inlineStr">
        <is>
          <t>Alveus Ultra Cuvee. Экстра брют розовое — Фанагория — Розовое экстра брют</t>
        </is>
      </c>
      <c r="O31" t="inlineStr">
        <is>
          <t>Игристое вино выдержанное полусладкое розовое «Новый Свет. Пино Фран» — Новый Свет. Дом шампанских вин — Розовое полусладкое</t>
        </is>
      </c>
      <c r="P31" t="inlineStr">
        <is>
          <t>Империал Кюве — Абрау-Дюрсо — Розовое брют</t>
        </is>
      </c>
      <c r="Q31" t="inlineStr">
        <is>
          <t>Alveus Ultra Cuvee Brut — Фанагория — Белое брют</t>
        </is>
      </c>
      <c r="R31" t="inlineStr">
        <is>
          <t>Alveus Ultra Cuvee. Экстра брют белое — Фанагория — Белое экстра брют</t>
        </is>
      </c>
      <c r="S31" s="3" t="n">
        <v>0.9687598943710327</v>
      </c>
      <c r="T31" s="3" t="n">
        <v>0.02925401367247105</v>
      </c>
      <c r="U31" t="n">
        <v>1048.3</v>
      </c>
    </row>
    <row r="32">
      <c r="A32" t="inlineStr">
        <is>
          <t>93.97_28-08-2026_16-02-48.webp</t>
        </is>
      </c>
      <c r="B32" t="inlineStr">
        <is>
          <t>нет в каталоге</t>
        </is>
      </c>
      <c r="F32" t="inlineStr">
        <is>
          <t>golubitskoe-estate-chardonnay</t>
        </is>
      </c>
      <c r="G32" t="inlineStr">
        <is>
          <t>golubitskoe-estate-shardone-rezerv-beloe-suhoe-135</t>
        </is>
      </c>
      <c r="H32" t="inlineStr">
        <is>
          <t>golubitskoe-estate-sovinon-blan-beloe-suhoe-11</t>
        </is>
      </c>
      <c r="I32" t="inlineStr">
        <is>
          <t>golubitskoe-estate-shardone-noble-selection-barrel-touch-beloe-suhoe-135</t>
        </is>
      </c>
      <c r="J32" t="inlineStr">
        <is>
          <t>pomeste-golubitskoe-shardone-rezerv-beloe-suhoe-132</t>
        </is>
      </c>
      <c r="K32">
        <f>IF(C32="","",IFERROR(MATCH(C32,F32:J32,0),"нет"))</f>
        <v/>
      </c>
      <c r="L32">
        <f>IF(C32="","",IF(K32=1,1,0))</f>
        <v/>
      </c>
      <c r="M32">
        <f>IF(C32="","",IF(ISNUMBER(K32),1,0))</f>
        <v/>
      </c>
      <c r="N32" t="inlineStr">
        <is>
          <t>Golubitskoe Estate Chardonnay — Поместье Голубицкое — Белое сухое</t>
        </is>
      </c>
      <c r="O32" t="inlineStr">
        <is>
          <t>Шардоне Резерв — Golubitskoe Estate — Белое сухое</t>
        </is>
      </c>
      <c r="P32" t="inlineStr">
        <is>
          <t>Совиньон Блан — Golubitskoe Estate — Белое сухое</t>
        </is>
      </c>
      <c r="Q32" t="inlineStr">
        <is>
          <t>Шардоне Noble Selection Barrel Touch — Golubitskoe Estate — Белое сухое</t>
        </is>
      </c>
      <c r="R32" t="inlineStr">
        <is>
          <t>Шардоне Резерв — Golubitskoe Estate — Белое сухое</t>
        </is>
      </c>
      <c r="S32" s="3" t="n">
        <v>0.9999991655349731</v>
      </c>
      <c r="T32" s="3" t="n">
        <v>2.102432148376465e-07</v>
      </c>
      <c r="U32" t="n">
        <v>741.6</v>
      </c>
    </row>
    <row r="33">
      <c r="A33" t="inlineStr">
        <is>
          <t>94.02_24-08-2026_17-46-57.webp</t>
        </is>
      </c>
      <c r="B33" t="inlineStr">
        <is>
          <t>уверенно</t>
        </is>
      </c>
      <c r="C33" t="inlineStr">
        <is>
          <t>rubin-golodrigi</t>
        </is>
      </c>
      <c r="D33" t="inlineStr">
        <is>
          <t>Рубин Голодриги  — Табия — Красное сухое</t>
        </is>
      </c>
      <c r="F33" t="inlineStr">
        <is>
          <t>rubin-golodrigi</t>
        </is>
      </c>
      <c r="G33" t="inlineStr">
        <is>
          <t>kaberne-sovinon-2</t>
        </is>
      </c>
      <c r="H33" t="inlineStr">
        <is>
          <t>pobeda</t>
        </is>
      </c>
      <c r="I33" t="inlineStr">
        <is>
          <t>bukovinka</t>
        </is>
      </c>
      <c r="J33" t="inlineStr">
        <is>
          <t>roze-2</t>
        </is>
      </c>
      <c r="K33">
        <f>IF(C33="","",IFERROR(MATCH(C33,F33:J33,0),"нет"))</f>
        <v/>
      </c>
      <c r="L33">
        <f>IF(C33="","",IF(K33=1,1,0))</f>
        <v/>
      </c>
      <c r="M33">
        <f>IF(C33="","",IF(ISNUMBER(K33),1,0))</f>
        <v/>
      </c>
      <c r="N33" t="inlineStr">
        <is>
          <t>Рубин Голодриги  — Табия — Красное сухое</t>
        </is>
      </c>
      <c r="O33" t="inlineStr">
        <is>
          <t>Каберне Совиньон — Табия — Красное сухое</t>
        </is>
      </c>
      <c r="P33" t="inlineStr">
        <is>
          <t>Победа — Табия — Красное сухое</t>
        </is>
      </c>
      <c r="Q33" t="inlineStr">
        <is>
          <t>Буковинка — Табия — Белое полусухое</t>
        </is>
      </c>
      <c r="R33" t="inlineStr">
        <is>
          <t>Розе — Табия — Розовое сухое</t>
        </is>
      </c>
      <c r="S33" s="3" t="n">
        <v>0.9999998807907104</v>
      </c>
      <c r="T33" s="3" t="n">
        <v>6.023573462243803e-08</v>
      </c>
      <c r="U33" t="n">
        <v>594.5</v>
      </c>
    </row>
    <row r="34">
      <c r="A34" t="inlineStr">
        <is>
          <t>94.43_05-09-2026_15-29-25.webp</t>
        </is>
      </c>
      <c r="B34" t="inlineStr">
        <is>
          <t>нет в каталоге</t>
        </is>
      </c>
      <c r="F34" t="inlineStr">
        <is>
          <t>fanagoriya-alveus-ultra-cuvee-brut-shardone-beloe-bryut-12</t>
        </is>
      </c>
      <c r="G34" t="inlineStr">
        <is>
          <t>rozovoe-bryut-1</t>
        </is>
      </c>
      <c r="H34" t="inlineStr">
        <is>
          <t>vinodelnya-78-muskat-polusladkoe-muskat-ottonel-beloe-115</t>
        </is>
      </c>
      <c r="I34" t="inlineStr">
        <is>
          <t>novyy-svet-dom-shampanskih-vin-igristoe-vino-vyderzhannoe-polusladkoe-rozovoe-novyy-svet-pino-fran-135</t>
        </is>
      </c>
      <c r="J34" t="inlineStr">
        <is>
          <t>balaklava-bryut-rezerv</t>
        </is>
      </c>
      <c r="K34">
        <f>IF(C34="","",IFERROR(MATCH(C34,F34:J34,0),"нет"))</f>
        <v/>
      </c>
      <c r="L34">
        <f>IF(C34="","",IF(K34=1,1,0))</f>
        <v/>
      </c>
      <c r="M34">
        <f>IF(C34="","",IF(ISNUMBER(K34),1,0))</f>
        <v/>
      </c>
      <c r="N34" t="inlineStr">
        <is>
          <t>Alveus Ultra Cuvee Brut — Фанагория — Белое брют</t>
        </is>
      </c>
      <c r="O34" t="inlineStr">
        <is>
          <t>Розовое брют — Золотая Балка — Розовое брют</t>
        </is>
      </c>
      <c r="P34" t="inlineStr">
        <is>
          <t>Мускат полусладкое — Винодельня 78 — Белое полусладкое</t>
        </is>
      </c>
      <c r="Q34" t="inlineStr">
        <is>
          <t>Игристое вино выдержанное полусладкое розовое «Новый Свет. Пино Фран» — Новый Свет. Дом шампанских вин — Розовое полусладкое</t>
        </is>
      </c>
      <c r="R34" t="inlineStr">
        <is>
          <t>Балаклава Брют Резерв — Золотая Балка — Белое брют</t>
        </is>
      </c>
      <c r="S34" s="3" t="n">
        <v>0.8835039138793945</v>
      </c>
      <c r="T34" s="3" t="n">
        <v>0.03425716236233711</v>
      </c>
      <c r="U34" t="n">
        <v>1001</v>
      </c>
    </row>
    <row r="35">
      <c r="A35" t="inlineStr">
        <is>
          <t>94.55_02-09-2026_16-53-08.webp</t>
        </is>
      </c>
      <c r="B35" t="inlineStr">
        <is>
          <t>уверенно</t>
        </is>
      </c>
      <c r="C35" t="inlineStr">
        <is>
          <t>denisov_pazori_risling</t>
        </is>
      </c>
      <c r="D35" t="inlineStr">
        <is>
          <t>Пазори Рислинг — Denisov Winery — Белое брют</t>
        </is>
      </c>
      <c r="F35" t="inlineStr">
        <is>
          <t>denisov_pazori_risling</t>
        </is>
      </c>
      <c r="G35" t="inlineStr">
        <is>
          <t>denisov-winery-pino-nuar-shardone-ekstra-bryut-beloe-125</t>
        </is>
      </c>
      <c r="H35" t="inlineStr">
        <is>
          <t>znoj-denisov-vajneri</t>
        </is>
      </c>
      <c r="I35" t="inlineStr">
        <is>
          <t>vinodelnya-zhakov-saperavi-vyderzhannoe-krasnoe-suhoe-115</t>
        </is>
      </c>
      <c r="J35" t="inlineStr">
        <is>
          <t>vinodelnya-uzunov-nrav-krasnostop-zolotovskiy-krasnoe-suhoe-132</t>
        </is>
      </c>
      <c r="K35">
        <f>IF(C35="","",IFERROR(MATCH(C35,F35:J35,0),"нет"))</f>
        <v/>
      </c>
      <c r="L35">
        <f>IF(C35="","",IF(K35=1,1,0))</f>
        <v/>
      </c>
      <c r="M35">
        <f>IF(C35="","",IF(ISNUMBER(K35),1,0))</f>
        <v/>
      </c>
      <c r="N35" t="inlineStr">
        <is>
          <t>Пазори Рислинг — Denisov Winery — Белое брют</t>
        </is>
      </c>
      <c r="O35" t="inlineStr">
        <is>
          <t>Пино Нуар - Шардоне экстра брют — Denisov Winery — Белое экстра брют</t>
        </is>
      </c>
      <c r="P35" t="inlineStr">
        <is>
          <t>Зной. Денисов Вайнери — Denisov Winery — Белое сухое</t>
        </is>
      </c>
      <c r="Q35" t="inlineStr">
        <is>
          <t>Саперави выдержанное — Винодельня Жаков — Красное сухое</t>
        </is>
      </c>
      <c r="R35" t="inlineStr">
        <is>
          <t>Нрав — Винодельня Узунов — Красное сухое</t>
        </is>
      </c>
      <c r="S35" s="3" t="n">
        <v>0.9992011189460754</v>
      </c>
      <c r="T35" s="3" t="n">
        <v>0.000709607033059001</v>
      </c>
      <c r="U35" t="n">
        <v>1039.9</v>
      </c>
    </row>
    <row r="36">
      <c r="A36" t="inlineStr">
        <is>
          <t>94.72_21-08-2026_15-41-48.webp</t>
        </is>
      </c>
      <c r="B36" t="inlineStr">
        <is>
          <t>не уверен</t>
        </is>
      </c>
      <c r="C36" t="inlineStr">
        <is>
          <t>derbent-vino-desono-kaberne-sovinon-krasnoe-suhoe-125</t>
        </is>
      </c>
      <c r="D36" t="inlineStr">
        <is>
          <t>Дэсоно Каберне Совиньон — Дербент Вино — Красное сухое</t>
        </is>
      </c>
      <c r="E36" t="inlineStr">
        <is>
          <t>есть такое, но надпись внизу несоответствует, она больше. но фактически одно и то же</t>
        </is>
      </c>
      <c r="F36" t="inlineStr">
        <is>
          <t>derbent-vino-desono-kaberne-sovinon-krasnoe-suhoe-125</t>
        </is>
      </c>
      <c r="G36" t="inlineStr">
        <is>
          <t>derbent-vino-desono-merlo-krasnoe-suhoe-125</t>
        </is>
      </c>
      <c r="H36" t="inlineStr">
        <is>
          <t>derbent-vino-desono-kaberne-fran-krasnoe-suhoe-125</t>
        </is>
      </c>
      <c r="I36" t="inlineStr">
        <is>
          <t>derbent-vino-desono-risling-beloe-suhoe-125</t>
        </is>
      </c>
      <c r="J36" t="inlineStr">
        <is>
          <t>derbent-vino-desono-shardone-beloe-suhoe-125</t>
        </is>
      </c>
      <c r="K36">
        <f>IF(C36="","",IFERROR(MATCH(C36,F36:J36,0),"нет"))</f>
        <v/>
      </c>
      <c r="L36">
        <f>IF(C36="","",IF(K36=1,1,0))</f>
        <v/>
      </c>
      <c r="M36">
        <f>IF(C36="","",IF(ISNUMBER(K36),1,0))</f>
        <v/>
      </c>
      <c r="N36" t="inlineStr">
        <is>
          <t>Дэсоно Каберне Совиньон — Дербент Вино — Красное сухое</t>
        </is>
      </c>
      <c r="O36" t="inlineStr">
        <is>
          <t>Дэсоно Мерло — Дербент Вино — Красное сухое</t>
        </is>
      </c>
      <c r="P36" t="inlineStr">
        <is>
          <t>Дэсоно Каберне Фран — Дербент Вино — Красное сухое</t>
        </is>
      </c>
      <c r="Q36" t="inlineStr">
        <is>
          <t>Дэсоно Рислинг — Дербент Вино — Белое сухое</t>
        </is>
      </c>
      <c r="R36" t="inlineStr">
        <is>
          <t>Дэсоно Шардоне — Дербент Вино — Белое сухое</t>
        </is>
      </c>
      <c r="S36" s="3" t="n">
        <v>0.9999979734420776</v>
      </c>
      <c r="T36" s="3" t="n">
        <v>3.059016933093517e-07</v>
      </c>
      <c r="U36" t="n">
        <v>634</v>
      </c>
    </row>
    <row r="37">
      <c r="A37" t="inlineStr">
        <is>
          <t>94.7_25-08-2026_15-52-07.webp</t>
        </is>
      </c>
      <c r="B37" t="inlineStr">
        <is>
          <t>уверенно</t>
        </is>
      </c>
      <c r="C37" t="inlineStr">
        <is>
          <t>czitronnyj-magaracha-sovinon-blan</t>
        </is>
      </c>
      <c r="D37" t="inlineStr">
        <is>
          <t>Жемчужная 9 Цитрон, Совиньон блан — АРАТТИ — Белое полусухое</t>
        </is>
      </c>
      <c r="F37" t="inlineStr">
        <is>
          <t>czitronnyj-magaracha-sovinon-blan</t>
        </is>
      </c>
      <c r="G37" t="inlineStr">
        <is>
          <t>zhemchuzhnaya-9-czitron-shardone-1</t>
        </is>
      </c>
      <c r="H37" t="inlineStr">
        <is>
          <t>zhemchuzhnaya-9-aligote-czitron</t>
        </is>
      </c>
      <c r="I37" t="inlineStr">
        <is>
          <t>zhemchuzhnaya-9-czitron-shardone</t>
        </is>
      </c>
      <c r="J37" t="inlineStr">
        <is>
          <t>zhemchuzhnaya-9-risling-sovinon-blan</t>
        </is>
      </c>
      <c r="K37">
        <f>IF(C37="","",IFERROR(MATCH(C37,F37:J37,0),"нет"))</f>
        <v/>
      </c>
      <c r="L37">
        <f>IF(C37="","",IF(K37=1,1,0))</f>
        <v/>
      </c>
      <c r="M37">
        <f>IF(C37="","",IF(ISNUMBER(K37),1,0))</f>
        <v/>
      </c>
      <c r="N37" t="inlineStr">
        <is>
          <t>Жемчужная 9 Цитрон, Совиньон блан — АРАТТИ — Белое полусухое</t>
        </is>
      </c>
      <c r="O37" t="inlineStr">
        <is>
          <t>Жемчужная 9 Цитрон, Шардоне — АРАТТИ — Белое полусладкое</t>
        </is>
      </c>
      <c r="P37" t="inlineStr">
        <is>
          <t>Жемчужная 9 Алиготе, Цитрон — АРАТТИ — Белое сухое</t>
        </is>
      </c>
      <c r="Q37" t="inlineStr">
        <is>
          <t>Жемчужная 9 Цитрон, Шардоне — АРАТТИ — Белое сухое</t>
        </is>
      </c>
      <c r="R37" t="inlineStr">
        <is>
          <t>Жемчужная 9 Рислинг,Совиньон блан — АРАТТИ — Белое полусухое</t>
        </is>
      </c>
      <c r="S37" s="3" t="n">
        <v>0.9999997615814209</v>
      </c>
      <c r="T37" s="3" t="n">
        <v>1.125351474229319e-07</v>
      </c>
      <c r="U37" t="n">
        <v>628</v>
      </c>
    </row>
    <row r="38">
      <c r="A38" t="inlineStr">
        <is>
          <t>94.83_27-08-2026_14-29-28.webp</t>
        </is>
      </c>
      <c r="B38" t="inlineStr">
        <is>
          <t>нет в каталоге</t>
        </is>
      </c>
      <c r="F38" t="inlineStr">
        <is>
          <t>shato-pino-sovinon-blan-semilon-beloe-suhoe-115</t>
        </is>
      </c>
      <c r="G38" t="inlineStr">
        <is>
          <t>shato-pino-gravitatsiya-kaberne-sovinon-merlo-krasnoe-suhoe-135</t>
        </is>
      </c>
      <c r="H38" t="inlineStr">
        <is>
          <t>shato-pino-marselan-merlo-krasnoe-suhoe-13</t>
        </is>
      </c>
      <c r="I38" t="inlineStr">
        <is>
          <t>shato-pino-aligote-rkatsiteli-beloe-suhoe-12</t>
        </is>
      </c>
      <c r="J38" t="inlineStr">
        <is>
          <t>shato-pino-shardone-beloe-suhoe-125</t>
        </is>
      </c>
      <c r="K38">
        <f>IF(C38="","",IFERROR(MATCH(C38,F38:J38,0),"нет"))</f>
        <v/>
      </c>
      <c r="L38">
        <f>IF(C38="","",IF(K38=1,1,0))</f>
        <v/>
      </c>
      <c r="M38">
        <f>IF(C38="","",IF(ISNUMBER(K38),1,0))</f>
        <v/>
      </c>
      <c r="N38" t="inlineStr">
        <is>
          <t>Совиньон Блан - Семильон — Шато Пино — Белое сухое</t>
        </is>
      </c>
      <c r="O38" t="inlineStr">
        <is>
          <t>Гравитация. Каберне Совиньон - Мерло — Шато Пино — Красное сухое</t>
        </is>
      </c>
      <c r="P38" t="inlineStr">
        <is>
          <t>Марселан - Мерло — Шато Пино — Красное сухое</t>
        </is>
      </c>
      <c r="Q38" t="inlineStr">
        <is>
          <t>Алиготе - Ркацители белое сухое — Шато Пино — Белое сухое</t>
        </is>
      </c>
      <c r="R38" t="inlineStr">
        <is>
          <t>Шардоне — Шато Пино — Белое сухое</t>
        </is>
      </c>
      <c r="S38" s="3" t="n">
        <v>0.7512252926826477</v>
      </c>
      <c r="T38" s="3" t="n">
        <v>0.2438871264457703</v>
      </c>
      <c r="U38" t="n">
        <v>630.2</v>
      </c>
    </row>
    <row r="39">
      <c r="A39" t="inlineStr">
        <is>
          <t>94.8_01-09-2026_10-10-02.webp</t>
        </is>
      </c>
      <c r="B39" t="inlineStr">
        <is>
          <t>нет в каталоге</t>
        </is>
      </c>
      <c r="F39" t="inlineStr">
        <is>
          <t>soyuz-vino-mosavali-saperavi-polusladkoe-krasnoe-11</t>
        </is>
      </c>
      <c r="G39" t="inlineStr">
        <is>
          <t>massandra-portveyn-krasnyy-livadiya-kaberne-sovinon-krasnoe-sladkoe-185</t>
        </is>
      </c>
      <c r="H39" t="inlineStr">
        <is>
          <t>massandra-portveyn-krasnyy-alushta-krasnye-sorta-vinograda-krasnoe-sladkoe-17</t>
        </is>
      </c>
      <c r="I39" t="inlineStr">
        <is>
          <t>kaberne-sovinon</t>
        </is>
      </c>
      <c r="J39" t="inlineStr">
        <is>
          <t>perovskih_polusladkoe_krasnoe</t>
        </is>
      </c>
      <c r="K39">
        <f>IF(C39="","",IFERROR(MATCH(C39,F39:J39,0),"нет"))</f>
        <v/>
      </c>
      <c r="L39">
        <f>IF(C39="","",IF(K39=1,1,0))</f>
        <v/>
      </c>
      <c r="M39">
        <f>IF(C39="","",IF(ISNUMBER(K39),1,0))</f>
        <v/>
      </c>
      <c r="N39" t="inlineStr">
        <is>
          <t>Мосавали Саперави Полусладкое — Союз-Вино — Красное полусладкое</t>
        </is>
      </c>
      <c r="O39" t="inlineStr">
        <is>
          <t>Портвейн красный Ливадия — Массандра — Красное сладкое</t>
        </is>
      </c>
      <c r="P39" t="inlineStr">
        <is>
          <t>Портвейн красный Алушта — Массандра — Красное сладкое</t>
        </is>
      </c>
      <c r="Q39" t="inlineStr">
        <is>
          <t>Каберне Совиньон — Массандра — Красное сладкое</t>
        </is>
      </c>
      <c r="R39" t="inlineStr">
        <is>
          <t>Полусладкое Красное — Усадьба Перовских — Красное полусладкое</t>
        </is>
      </c>
      <c r="S39" s="3" t="n">
        <v>0.8991742730140686</v>
      </c>
      <c r="T39" s="3" t="n">
        <v>0.08363623172044754</v>
      </c>
      <c r="U39" t="n">
        <v>671.6</v>
      </c>
    </row>
    <row r="40">
      <c r="A40" t="inlineStr">
        <is>
          <t>94.94_05-09-2026_15-04-50.webp</t>
        </is>
      </c>
      <c r="B40" t="inlineStr">
        <is>
          <t>не уверен</t>
        </is>
      </c>
      <c r="C40" t="inlineStr">
        <is>
          <t>denisov-winery-sovinon-blan-beloe-suhoe-115</t>
        </is>
      </c>
      <c r="D40" t="inlineStr">
        <is>
          <t>Совиньон Блан — Denisov Winery — Белое сухое</t>
        </is>
      </c>
      <c r="E40" t="inlineStr">
        <is>
          <t>этикетка немного другая. в slug черная, а на фото белая</t>
        </is>
      </c>
      <c r="F40" t="inlineStr">
        <is>
          <t>denisov-winery-sovinon-blan-beloe-suhoe-115</t>
        </is>
      </c>
      <c r="G40" t="inlineStr">
        <is>
          <t>dubinin-winery-sovinon-blan-beloe-suhoe-12</t>
        </is>
      </c>
      <c r="H40" t="inlineStr">
        <is>
          <t>imenie-sikory-sovinon-blan-sikory-beloe-suhoe-13</t>
        </is>
      </c>
      <c r="I40" t="inlineStr">
        <is>
          <t>znoj-denisov-vajneri</t>
        </is>
      </c>
      <c r="J40" t="inlineStr">
        <is>
          <t>zhemchuzhnaya-9-sovinon-blan-aligote</t>
        </is>
      </c>
      <c r="K40">
        <f>IF(C40="","",IFERROR(MATCH(C40,F40:J40,0),"нет"))</f>
        <v/>
      </c>
      <c r="L40">
        <f>IF(C40="","",IF(K40=1,1,0))</f>
        <v/>
      </c>
      <c r="M40">
        <f>IF(C40="","",IF(ISNUMBER(K40),1,0))</f>
        <v/>
      </c>
      <c r="N40" t="inlineStr">
        <is>
          <t>Совиньон Блан — Denisov Winery — Белое сухое</t>
        </is>
      </c>
      <c r="O40" t="inlineStr">
        <is>
          <t>Совиньон Блан — Dubinin Winery — Белое сухое</t>
        </is>
      </c>
      <c r="P40" t="inlineStr">
        <is>
          <t>Совиньон Блан Сикоры — Имение Сикоры — Белое сухое</t>
        </is>
      </c>
      <c r="Q40" t="inlineStr">
        <is>
          <t>Зной. Денисов Вайнери — Denisov Winery — Белое сухое</t>
        </is>
      </c>
      <c r="R40" t="inlineStr">
        <is>
          <t>Жемчужная 9 Совиньон блан, Алиготе — АРАТТИ — Белое сухое</t>
        </is>
      </c>
      <c r="S40" s="3" t="n">
        <v>0.9999992847442627</v>
      </c>
      <c r="T40" s="3" t="n">
        <v>3.466325040335505e-07</v>
      </c>
      <c r="U40" t="n">
        <v>763.4</v>
      </c>
    </row>
    <row r="41">
      <c r="A41" t="inlineStr">
        <is>
          <t>94.97_02-09-2026_19-01-48.webp</t>
        </is>
      </c>
      <c r="B41" t="inlineStr">
        <is>
          <t>уверенно</t>
        </is>
      </c>
      <c r="C41" t="inlineStr">
        <is>
          <t>zhemchuzhnaya-9-pino-nuar-muskat-rozovyj-2</t>
        </is>
      </c>
      <c r="D41" t="inlineStr">
        <is>
          <t>Жемчужная 9 Пино нуар, Мускат Розовый — АРАТТИ — Розовое полусладкое</t>
        </is>
      </c>
      <c r="F41" t="inlineStr">
        <is>
          <t>zhemchuzhnaya-9-pino-nuar-muskat-rozovyj-2</t>
        </is>
      </c>
      <c r="G41" t="inlineStr">
        <is>
          <t>zhemchuzhnaya-9-pino-nuar-muskat-rozovyj-1</t>
        </is>
      </c>
      <c r="H41" t="inlineStr">
        <is>
          <t>zhemchuzhnaya-9-muskat-rozovyj-kaberne-sovinon</t>
        </is>
      </c>
      <c r="I41" t="inlineStr">
        <is>
          <t>zhemchuzhnaya-9-pino-nuar-muskat-rozovyj</t>
        </is>
      </c>
      <c r="J41" t="inlineStr">
        <is>
          <t>zhemchuzhnaya-9-muskat-rozovyj-pino-gri</t>
        </is>
      </c>
      <c r="K41">
        <f>IF(C41="","",IFERROR(MATCH(C41,F41:J41,0),"нет"))</f>
        <v/>
      </c>
      <c r="L41">
        <f>IF(C41="","",IF(K41=1,1,0))</f>
        <v/>
      </c>
      <c r="M41">
        <f>IF(C41="","",IF(ISNUMBER(K41),1,0))</f>
        <v/>
      </c>
      <c r="N41" t="inlineStr">
        <is>
          <t>Жемчужная 9 Пино нуар, Мускат Розовый — АРАТТИ — Розовое полусладкое</t>
        </is>
      </c>
      <c r="O41" t="inlineStr">
        <is>
          <t>Жемчужная 9 Пино Нуар, Мускат розовый — АРАТТИ — Розовое полусухое</t>
        </is>
      </c>
      <c r="P41" t="inlineStr">
        <is>
          <t>Жемчужная 9 Мускат Розовый, Каберне Совиньон — АРАТТИ — Розовое полусладкое</t>
        </is>
      </c>
      <c r="Q41" t="inlineStr">
        <is>
          <t>Жемчужная 9 Пино Нуар, Мускат Розовый — АРАТТИ — Розовое сухое</t>
        </is>
      </c>
      <c r="R41" t="inlineStr">
        <is>
          <t>Жемчужная 9 Мускат Розовый, Пино гри — АРАТТИ — Розовое сухое</t>
        </is>
      </c>
      <c r="S41" s="3" t="n">
        <v>0.999990701675415</v>
      </c>
      <c r="T41" s="3" t="n">
        <v>1.275178789228448e-07</v>
      </c>
      <c r="U41" t="n">
        <v>677.8</v>
      </c>
    </row>
    <row r="42">
      <c r="A42" t="inlineStr">
        <is>
          <t>95.03_04-09-2026_11-39-35.webp</t>
        </is>
      </c>
      <c r="B42" t="inlineStr">
        <is>
          <t>уверенно</t>
        </is>
      </c>
      <c r="C42" t="inlineStr">
        <is>
          <t>fanagoriya-zelyonoe-vino-risling-tsitronnyy-magaracha-beloe-polusuhoe-11</t>
        </is>
      </c>
      <c r="D42" t="inlineStr">
        <is>
          <t>Зелёное вино. Рислинг - Цитронный Магарача — Фанагория — Белое полусухое</t>
        </is>
      </c>
      <c r="F42" t="inlineStr">
        <is>
          <t>fanagoriya-zelyonoe-vino-risling-tsitronnyy-magaracha-beloe-polusuhoe-11</t>
        </is>
      </c>
      <c r="G42" t="inlineStr">
        <is>
          <t>fanagoriya-zelyonoe-vino-risling-tsitronnyy-magaracha-merlo-rozovoe-polusuhoe-11</t>
        </is>
      </c>
      <c r="H42" t="inlineStr">
        <is>
          <t>fanagoriya-beloe-polusladkoe</t>
        </is>
      </c>
      <c r="I42" t="inlineStr">
        <is>
          <t>fanagoriya-ona-skazala-da-beloe-polusladkoe</t>
        </is>
      </c>
      <c r="J42" t="inlineStr">
        <is>
          <t>vinodelnya-vedernikov-vedernikov-dolina-dona-beloe-suhoe-aligote-12</t>
        </is>
      </c>
      <c r="K42">
        <f>IF(C42="","",IFERROR(MATCH(C42,F42:J42,0),"нет"))</f>
        <v/>
      </c>
      <c r="L42">
        <f>IF(C42="","",IF(K42=1,1,0))</f>
        <v/>
      </c>
      <c r="M42">
        <f>IF(C42="","",IF(ISNUMBER(K42),1,0))</f>
        <v/>
      </c>
      <c r="N42" t="inlineStr">
        <is>
          <t>Зелёное вино. Рислинг - Цитронный Магарача — Фанагория — Белое полусухое</t>
        </is>
      </c>
      <c r="O42" t="inlineStr">
        <is>
          <t>Зелёное вино. Рислинг - Цитронный Магарача - Мерло — Фанагория — Розовое полусухое</t>
        </is>
      </c>
      <c r="P42" t="inlineStr">
        <is>
          <t>Фанагория белое полусладкое — Фанагория — Белое полусладкое</t>
        </is>
      </c>
      <c r="Q42" t="inlineStr">
        <is>
          <t>Фанагория Она сказала Да! белое полусладкое — Фанагория — Белое полусладкое</t>
        </is>
      </c>
      <c r="R42" t="inlineStr">
        <is>
          <t>Ведерниковъ Долина Дона Белое Сухое — Ведерниковъ — Белое сухое</t>
        </is>
      </c>
      <c r="S42" s="3" t="n">
        <v>0.9999997615814209</v>
      </c>
      <c r="T42" s="3" t="n">
        <v>7.734419682492444e-08</v>
      </c>
      <c r="U42" t="n">
        <v>864.1</v>
      </c>
    </row>
    <row r="43">
      <c r="A43" t="inlineStr">
        <is>
          <t>95.07_01-09-2026_16-15-35.webp</t>
        </is>
      </c>
      <c r="B43" t="inlineStr">
        <is>
          <t>нет в каталоге</t>
        </is>
      </c>
      <c r="F43" t="inlineStr">
        <is>
          <t>khrustaleva-76-muscat-bryut-beloe</t>
        </is>
      </c>
      <c r="G43" t="inlineStr">
        <is>
          <t>kuban-vino-aristov-kyuve-aleksandr-blanc-de-blancs-36-shardone-beloe-ekstra-bryut-12</t>
        </is>
      </c>
      <c r="H43" t="inlineStr">
        <is>
          <t>shato-pino-pino-gri-roze-rozovoe-ekstra-bryut-12</t>
        </is>
      </c>
      <c r="I43" t="inlineStr">
        <is>
          <t>kuban-vino-aristov-kyuve-aleksandr-rose-de-pinot-pino-nuar-rozovoe-ekstra-bryut-12</t>
        </is>
      </c>
      <c r="J43" t="inlineStr">
        <is>
          <t>usadba-perovskih-blanc-de-blancs-shardone-beloe-ekstra-bryut-11</t>
        </is>
      </c>
      <c r="K43">
        <f>IF(C43="","",IFERROR(MATCH(C43,F43:J43,0),"нет"))</f>
        <v/>
      </c>
      <c r="L43">
        <f>IF(C43="","",IF(K43=1,1,0))</f>
        <v/>
      </c>
      <c r="M43">
        <f>IF(C43="","",IF(ISNUMBER(K43),1,0))</f>
        <v/>
      </c>
      <c r="N43" t="inlineStr">
        <is>
          <t>Khrustaleva 76 muscat, брют, белое — AYA Organic Wine &amp; Vineyards — Белое брют</t>
        </is>
      </c>
      <c r="O43" t="inlineStr">
        <is>
          <t>Аристов. Кюве Александр Blanc de Blancs 36 — Кубань-Вино — Белое экстра брют</t>
        </is>
      </c>
      <c r="P43" t="inlineStr">
        <is>
          <t>Пино Гри розе — Шато Пино — Розовое экстра брют</t>
        </is>
      </c>
      <c r="Q43" t="inlineStr">
        <is>
          <t>Аристов. Кюве Александр Rose de Pinot — Кубань-Вино — Розовое экстра брют</t>
        </is>
      </c>
      <c r="R43" t="inlineStr">
        <is>
          <t>Blanc de Blancs — Усадьба Перовских — Белое экстра брют</t>
        </is>
      </c>
      <c r="S43" s="3" t="n">
        <v>0.999969482421875</v>
      </c>
      <c r="T43" s="3" t="n">
        <v>1.473874817747856e-05</v>
      </c>
      <c r="U43" t="n">
        <v>1034.6</v>
      </c>
    </row>
    <row r="44">
      <c r="A44" t="inlineStr">
        <is>
          <t>95.17_29-08-2026_11-06-42.webp</t>
        </is>
      </c>
      <c r="B44" t="inlineStr">
        <is>
          <t>нет в каталоге</t>
        </is>
      </c>
      <c r="F44" t="inlineStr">
        <is>
          <t>golubitskoe-estate-pino-nuar-rezerv-krasnoe-suhoe-132</t>
        </is>
      </c>
      <c r="G44" t="inlineStr">
        <is>
          <t>golubitskoe-estate-red-blend-kaberne-sovinon-krasnoe-suhoe-136</t>
        </is>
      </c>
      <c r="H44" t="inlineStr">
        <is>
          <t>golubitskoe-estate-winery-series-pino-nuar-rozovoe-suhoe-115</t>
        </is>
      </c>
      <c r="I44" t="inlineStr">
        <is>
          <t>golubitskoe-estate-sovinon-blan-beloe-suhoe-11</t>
        </is>
      </c>
      <c r="J44" t="inlineStr">
        <is>
          <t>golubitskoe-estate-shardone-rezerv-beloe-suhoe-135</t>
        </is>
      </c>
      <c r="K44">
        <f>IF(C44="","",IFERROR(MATCH(C44,F44:J44,0),"нет"))</f>
        <v/>
      </c>
      <c r="L44">
        <f>IF(C44="","",IF(K44=1,1,0))</f>
        <v/>
      </c>
      <c r="M44">
        <f>IF(C44="","",IF(ISNUMBER(K44),1,0))</f>
        <v/>
      </c>
      <c r="N44" t="inlineStr">
        <is>
          <t>Пино Нуар Резерв — Golubitskoe Estate — Красное сухое</t>
        </is>
      </c>
      <c r="O44" t="inlineStr">
        <is>
          <t>Red Blend — Golubitskoe Estate — Красное сухое</t>
        </is>
      </c>
      <c r="P44" t="inlineStr">
        <is>
          <t>Winery Series. Пино Нуар — Golubitskoe Estate — Розовое сухое</t>
        </is>
      </c>
      <c r="Q44" t="inlineStr">
        <is>
          <t>Совиньон Блан — Golubitskoe Estate — Белое сухое</t>
        </is>
      </c>
      <c r="R44" t="inlineStr">
        <is>
          <t>Шардоне Резерв — Golubitskoe Estate — Белое сухое</t>
        </is>
      </c>
      <c r="S44" s="3" t="n">
        <v>0.9923253059387207</v>
      </c>
      <c r="T44" s="3" t="n">
        <v>2.732511711656116e-05</v>
      </c>
      <c r="U44" t="n">
        <v>566.5</v>
      </c>
    </row>
    <row r="45">
      <c r="A45" t="inlineStr">
        <is>
          <t>95.19_05-09-2026_15-32-06.webp</t>
        </is>
      </c>
      <c r="B45" t="inlineStr">
        <is>
          <t>нет в каталоге</t>
        </is>
      </c>
      <c r="F45" t="inlineStr">
        <is>
          <t>fanagoriya-alveus-ultra-cuvee-bryut-rozovoe-merlo-igristoe-bryut-rozovoe-12</t>
        </is>
      </c>
      <c r="G45" t="inlineStr">
        <is>
          <t>fanagoriya-alveus-ultra-cuvee-brut-shardone-beloe-bryut-12</t>
        </is>
      </c>
      <c r="H45" t="inlineStr">
        <is>
          <t>fanagoriya-primum-alveus-brut-2016-shardone-igristoe-bryut-beloe-12</t>
        </is>
      </c>
      <c r="I45" t="inlineStr">
        <is>
          <t>fanagoriya-alveus-ultra-cuvee-ekstra-bryut-rozovoe-merlo-12</t>
        </is>
      </c>
      <c r="J45" t="inlineStr">
        <is>
          <t>fanagoriya-alveus-ultra-cuvee-ekstra-bryut-beloe-risling-reynskiy-12</t>
        </is>
      </c>
      <c r="K45">
        <f>IF(C45="","",IFERROR(MATCH(C45,F45:J45,0),"нет"))</f>
        <v/>
      </c>
      <c r="L45">
        <f>IF(C45="","",IF(K45=1,1,0))</f>
        <v/>
      </c>
      <c r="M45">
        <f>IF(C45="","",IF(ISNUMBER(K45),1,0))</f>
        <v/>
      </c>
      <c r="N45" t="inlineStr">
        <is>
          <t>Alveus Ultra Cuvee. Брют розовое — Фанагория — Розовое брют</t>
        </is>
      </c>
      <c r="O45" t="inlineStr">
        <is>
          <t>Alveus Ultra Cuvee Brut — Фанагория — Белое брют</t>
        </is>
      </c>
      <c r="P45" t="inlineStr">
        <is>
          <t>Primum Alveus Brut 2016 — Фанагория — Белое брют</t>
        </is>
      </c>
      <c r="Q45" t="inlineStr">
        <is>
          <t>Alveus Ultra Cuvee. Экстра брют розовое — Фанагория — Розовое экстра брют</t>
        </is>
      </c>
      <c r="R45" t="inlineStr">
        <is>
          <t>Alveus Ultra Cuvee. Экстра брют белое — Фанагория — Белое экстра брют</t>
        </is>
      </c>
      <c r="S45" s="3" t="n">
        <v>0.6176218390464783</v>
      </c>
      <c r="T45" s="3" t="n">
        <v>0.37460657954216</v>
      </c>
      <c r="U45" t="n">
        <v>1023.6</v>
      </c>
    </row>
    <row r="46">
      <c r="A46" t="inlineStr">
        <is>
          <t>95.24_19-08-2026_20-00-22.webp</t>
        </is>
      </c>
      <c r="B46" t="inlineStr">
        <is>
          <t>уверенно</t>
        </is>
      </c>
      <c r="C46" t="inlineStr">
        <is>
          <t>zhemchuzhnaya-9-czitron-shardone-1</t>
        </is>
      </c>
      <c r="D46" t="inlineStr">
        <is>
          <t>Жемчужная 9 Цитрон, Шардоне — АРАТТИ — Белое полусладкое</t>
        </is>
      </c>
      <c r="F46" t="inlineStr">
        <is>
          <t>zhemchuzhnaya-9-czitron-shardone-1</t>
        </is>
      </c>
      <c r="G46" t="inlineStr">
        <is>
          <t>czitronnyj-magaracha-sovinon-blan</t>
        </is>
      </c>
      <c r="H46" t="inlineStr">
        <is>
          <t>zhemchuzhnaya-9-czitron-shardone</t>
        </is>
      </c>
      <c r="I46" t="inlineStr">
        <is>
          <t>zhemchuzhnaya-9-aligote-czitron</t>
        </is>
      </c>
      <c r="J46" t="inlineStr">
        <is>
          <t>zhemchuzhnaya-9-sovinon-blan-aligote</t>
        </is>
      </c>
      <c r="K46">
        <f>IF(C46="","",IFERROR(MATCH(C46,F46:J46,0),"нет"))</f>
        <v/>
      </c>
      <c r="L46">
        <f>IF(C46="","",IF(K46=1,1,0))</f>
        <v/>
      </c>
      <c r="M46">
        <f>IF(C46="","",IF(ISNUMBER(K46),1,0))</f>
        <v/>
      </c>
      <c r="N46" t="inlineStr">
        <is>
          <t>Жемчужная 9 Цитрон, Шардоне — АРАТТИ — Белое полусладкое</t>
        </is>
      </c>
      <c r="O46" t="inlineStr">
        <is>
          <t>Жемчужная 9 Цитрон, Совиньон блан — АРАТТИ — Белое полусухое</t>
        </is>
      </c>
      <c r="P46" t="inlineStr">
        <is>
          <t>Жемчужная 9 Цитрон, Шардоне — АРАТТИ — Белое сухое</t>
        </is>
      </c>
      <c r="Q46" t="inlineStr">
        <is>
          <t>Жемчужная 9 Алиготе, Цитрон — АРАТТИ — Белое сухое</t>
        </is>
      </c>
      <c r="R46" t="inlineStr">
        <is>
          <t>Жемчужная 9 Совиньон блан, Алиготе — АРАТТИ — Белое сухое</t>
        </is>
      </c>
      <c r="S46" s="3" t="n">
        <v>0.9999998807907104</v>
      </c>
      <c r="T46" s="3" t="n">
        <v>6.825602838489431e-08</v>
      </c>
      <c r="U46" t="n">
        <v>592.8</v>
      </c>
    </row>
    <row r="47">
      <c r="A47" t="inlineStr">
        <is>
          <t>95.29_21-08-2026_17-24-49.webp</t>
        </is>
      </c>
      <c r="B47" t="inlineStr">
        <is>
          <t>нет в каталоге</t>
        </is>
      </c>
      <c r="F47" t="inlineStr">
        <is>
          <t>bakla-vines-pino-nuar-krasnoe-suhoe-125</t>
        </is>
      </c>
      <c r="G47" t="inlineStr">
        <is>
          <t>risling-1</t>
        </is>
      </c>
      <c r="H47" t="inlineStr">
        <is>
          <t>usadba-mezyb-shishka-pino-nuar-rozovoe-suhoe-115</t>
        </is>
      </c>
      <c r="I47" t="inlineStr">
        <is>
          <t>vaynkraft-pino-nuar-krasnoe-suhoe-13</t>
        </is>
      </c>
      <c r="J47" t="inlineStr">
        <is>
          <t>oleg</t>
        </is>
      </c>
      <c r="K47">
        <f>IF(C47="","",IFERROR(MATCH(C47,F47:J47,0),"нет"))</f>
        <v/>
      </c>
      <c r="L47">
        <f>IF(C47="","",IF(K47=1,1,0))</f>
        <v/>
      </c>
      <c r="M47">
        <f>IF(C47="","",IF(ISNUMBER(K47),1,0))</f>
        <v/>
      </c>
      <c r="N47" t="inlineStr">
        <is>
          <t>Пино Нуар — Bakla Vines — Красное сухое</t>
        </is>
      </c>
      <c r="O47" t="inlineStr">
        <is>
          <t>Рислинг — Табия — Белое полусухое</t>
        </is>
      </c>
      <c r="P47" t="inlineStr">
        <is>
          <t>Шишка. Пино Нуар — Усадьба Мезыбь — Розовое сухое</t>
        </is>
      </c>
      <c r="Q47" t="inlineStr">
        <is>
          <t>Пино Нуар — ВайнКрафт — Красное сухое</t>
        </is>
      </c>
      <c r="R47" t="inlineStr">
        <is>
          <t>Олег — Табия — Белое сухое</t>
        </is>
      </c>
      <c r="S47" s="3" t="n">
        <v>0.7358158826828003</v>
      </c>
      <c r="T47" s="3" t="n">
        <v>0.02517823502421379</v>
      </c>
      <c r="U47" t="n">
        <v>783.3</v>
      </c>
    </row>
    <row r="48">
      <c r="A48" t="inlineStr">
        <is>
          <t>95.2_05-09-2026_13-54-13.webp</t>
        </is>
      </c>
      <c r="B48" t="inlineStr">
        <is>
          <t>уверенно</t>
        </is>
      </c>
      <c r="C48" t="inlineStr">
        <is>
          <t>aratti-kaberne-po-belomu-1</t>
        </is>
      </c>
      <c r="D48" t="inlineStr">
        <is>
          <t>АРАТТИ Каберне по-белому — АРАТТИ — Розовое полусухое</t>
        </is>
      </c>
      <c r="F48" t="inlineStr">
        <is>
          <t>aratti-kaberne-po-belomu-1</t>
        </is>
      </c>
      <c r="G48" t="inlineStr">
        <is>
          <t>aratti-kaberne-po-belomu</t>
        </is>
      </c>
      <c r="H48" t="inlineStr">
        <is>
          <t>aratti-kaberne-sovinon-2021-krasnoe-suhoe</t>
        </is>
      </c>
      <c r="I48" t="inlineStr">
        <is>
          <t>aratti-muskat-belyj-polusuhoe</t>
        </is>
      </c>
      <c r="J48" t="inlineStr">
        <is>
          <t>aratti-sovinon-blan-beloe-polusuhoe</t>
        </is>
      </c>
      <c r="K48">
        <f>IF(C48="","",IFERROR(MATCH(C48,F48:J48,0),"нет"))</f>
        <v/>
      </c>
      <c r="L48">
        <f>IF(C48="","",IF(K48=1,1,0))</f>
        <v/>
      </c>
      <c r="M48">
        <f>IF(C48="","",IF(ISNUMBER(K48),1,0))</f>
        <v/>
      </c>
      <c r="N48" t="inlineStr">
        <is>
          <t>АРАТТИ Каберне по-белому — АРАТТИ — Розовое полусухое</t>
        </is>
      </c>
      <c r="O48" t="inlineStr">
        <is>
          <t>АРАТТИ Каберне по-белому — АРАТТИ — Красное сухое</t>
        </is>
      </c>
      <c r="P48" t="inlineStr">
        <is>
          <t>АРАТТИ Каберне Совиньон 2021 красное сухое — АРАТТИ — Красное сухое</t>
        </is>
      </c>
      <c r="Q48" t="inlineStr">
        <is>
          <t>АРАТТИ Мускат белый полусухое — АРАТТИ — Белое полусухое</t>
        </is>
      </c>
      <c r="R48" t="inlineStr">
        <is>
          <t>АРАТТИ Совиньон блан белое полусухое — АРАТТИ — Белое полусухое</t>
        </is>
      </c>
      <c r="S48" s="3" t="n">
        <v>0.9999996423721313</v>
      </c>
      <c r="T48" s="3" t="n">
        <v>8.764245507109081e-08</v>
      </c>
      <c r="U48" t="n">
        <v>612.9</v>
      </c>
    </row>
    <row r="49">
      <c r="A49" t="inlineStr">
        <is>
          <t>95.32_02-09-2026_12-09-23.webp</t>
        </is>
      </c>
      <c r="B49" t="inlineStr">
        <is>
          <t>уверенно</t>
        </is>
      </c>
      <c r="C49" t="inlineStr">
        <is>
          <t>sovinon-blan</t>
        </is>
      </c>
      <c r="D49" t="inlineStr">
        <is>
          <t>Совиньон Блан — Литавщук. Litavshchuk vineyards &amp; winery — Белое полусладкое</t>
        </is>
      </c>
      <c r="F49" t="inlineStr">
        <is>
          <t>sovinon-blan</t>
        </is>
      </c>
      <c r="G49" t="inlineStr">
        <is>
          <t>domashnyaya-gorka</t>
        </is>
      </c>
      <c r="H49" t="inlineStr">
        <is>
          <t>dubinin-winery-sovinon-blan-beloe-suhoe-12</t>
        </is>
      </c>
      <c r="I49" t="inlineStr">
        <is>
          <t>blagolyubov-sovinon-blan-beloe-suhoe-125</t>
        </is>
      </c>
      <c r="J49" t="inlineStr">
        <is>
          <t>risling-2</t>
        </is>
      </c>
      <c r="K49">
        <f>IF(C49="","",IFERROR(MATCH(C49,F49:J49,0),"нет"))</f>
        <v/>
      </c>
      <c r="L49">
        <f>IF(C49="","",IF(K49=1,1,0))</f>
        <v/>
      </c>
      <c r="M49">
        <f>IF(C49="","",IF(ISNUMBER(K49),1,0))</f>
        <v/>
      </c>
      <c r="N49" t="inlineStr">
        <is>
          <t>Совиньон Блан — Литавщук. Litavshchuk vineyards &amp; winery — Белое полусладкое</t>
        </is>
      </c>
      <c r="O49" t="inlineStr">
        <is>
          <t>Домашняя горка  — Литавщук. Litavshchuk vineyards &amp; winery — Белое полусладкое</t>
        </is>
      </c>
      <c r="P49" t="inlineStr">
        <is>
          <t>Совиньон Блан — Dubinin Winery — Белое сухое</t>
        </is>
      </c>
      <c r="Q49" t="inlineStr">
        <is>
          <t>Совиньон Блан — Благолюбов — Белое сухое</t>
        </is>
      </c>
      <c r="R49" t="inlineStr">
        <is>
          <t>Рислинг  — Литавщук. Litavshchuk vineyards &amp; winery — Белое полусухое</t>
        </is>
      </c>
      <c r="S49" s="3" t="n">
        <v>0.9999998807907104</v>
      </c>
      <c r="T49" s="3" t="n">
        <v>7.734421103577915e-08</v>
      </c>
      <c r="U49" t="n">
        <v>1453.3</v>
      </c>
    </row>
    <row r="50">
      <c r="A50" t="inlineStr">
        <is>
          <t>95.35_05-09-2026_15-29-53.webp</t>
        </is>
      </c>
      <c r="B50" t="inlineStr">
        <is>
          <t>нет в каталоге</t>
        </is>
      </c>
      <c r="F50" t="inlineStr">
        <is>
          <t>fanagoriya-alveus-ultra-cuvee-bryut-rozovoe-merlo-igristoe-bryut-rozovoe-12</t>
        </is>
      </c>
      <c r="G50" t="inlineStr">
        <is>
          <t>fanagoriya-primum-alveus-brut-2016-shardone-igristoe-bryut-beloe-12</t>
        </is>
      </c>
      <c r="H50" t="inlineStr">
        <is>
          <t>fanagoriya-alveus-ultra-cuvee-brut-shardone-beloe-bryut-12</t>
        </is>
      </c>
      <c r="I50" t="inlineStr">
        <is>
          <t>fanagoriya-alveus-ultra-cuvee-ekstra-bryut-rozovoe-merlo-12</t>
        </is>
      </c>
      <c r="J50" t="inlineStr">
        <is>
          <t>fanagoriya-alveus-ultra-cuvee-ekstra-bryut-beloe-risling-reynskiy-12</t>
        </is>
      </c>
      <c r="K50">
        <f>IF(C50="","",IFERROR(MATCH(C50,F50:J50,0),"нет"))</f>
        <v/>
      </c>
      <c r="L50">
        <f>IF(C50="","",IF(K50=1,1,0))</f>
        <v/>
      </c>
      <c r="M50">
        <f>IF(C50="","",IF(ISNUMBER(K50),1,0))</f>
        <v/>
      </c>
      <c r="N50" t="inlineStr">
        <is>
          <t>Alveus Ultra Cuvee. Брют розовое — Фанагория — Розовое брют</t>
        </is>
      </c>
      <c r="O50" t="inlineStr">
        <is>
          <t>Primum Alveus Brut 2016 — Фанагория — Белое брют</t>
        </is>
      </c>
      <c r="P50" t="inlineStr">
        <is>
          <t>Alveus Ultra Cuvee Brut — Фанагория — Белое брют</t>
        </is>
      </c>
      <c r="Q50" t="inlineStr">
        <is>
          <t>Alveus Ultra Cuvee. Экстра брют розовое — Фанагория — Розовое экстра брют</t>
        </is>
      </c>
      <c r="R50" t="inlineStr">
        <is>
          <t>Alveus Ultra Cuvee. Экстра брют белое — Фанагория — Белое экстра брют</t>
        </is>
      </c>
      <c r="S50" s="3" t="n">
        <v>0.995657205581665</v>
      </c>
      <c r="T50" s="3" t="n">
        <v>0.004069023299962282</v>
      </c>
      <c r="U50" t="n">
        <v>1028.7</v>
      </c>
    </row>
    <row r="51">
      <c r="A51" t="inlineStr">
        <is>
          <t>95.36_28-08-2026_17-09-04.webp</t>
        </is>
      </c>
      <c r="B51" t="inlineStr">
        <is>
          <t>нет в каталоге</t>
        </is>
      </c>
      <c r="F51" t="inlineStr">
        <is>
          <t>winemaker-selection</t>
        </is>
      </c>
      <c r="G51" t="inlineStr">
        <is>
          <t>inkerman-shato-blan</t>
        </is>
      </c>
      <c r="H51" t="inlineStr">
        <is>
          <t>inkermanskiy-zmv-inkerman-bryut-rkatsiteli-beloe-12</t>
        </is>
      </c>
      <c r="I51" t="inlineStr">
        <is>
          <t>inkermanskiy-zmv-inkerman-polusladkoe-rkatsiteli-beloe-13</t>
        </is>
      </c>
      <c r="J51" t="inlineStr">
        <is>
          <t>inkermanskiy-zmv-winemakers-selection-saperavi-krasnoe-polusladkoe-12</t>
        </is>
      </c>
      <c r="K51">
        <f>IF(C51="","",IFERROR(MATCH(C51,F51:J51,0),"нет"))</f>
        <v/>
      </c>
      <c r="L51">
        <f>IF(C51="","",IF(K51=1,1,0))</f>
        <v/>
      </c>
      <c r="M51">
        <f>IF(C51="","",IF(ISNUMBER(K51),1,0))</f>
        <v/>
      </c>
      <c r="N51" t="inlineStr">
        <is>
          <t>Winemaker selection — Инкерманский ЗМВ — Белое полусухое</t>
        </is>
      </c>
      <c r="O51" t="inlineStr">
        <is>
          <t>Инкерман Шато Блан — Инкерманский ЗМВ — Белое полусухое</t>
        </is>
      </c>
      <c r="P51" t="inlineStr">
        <is>
          <t>Инкерман Брют — Инкерманский ЗМВ — Белое брют</t>
        </is>
      </c>
      <c r="Q51" t="inlineStr">
        <is>
          <t>Инкерман полусладкое — Инкерманский ЗМВ — Белое полусладкое</t>
        </is>
      </c>
      <c r="R51" t="inlineStr">
        <is>
          <t>Winemaker's Selection Саперави — Инкерманский ЗМВ — Красное полусладкое</t>
        </is>
      </c>
      <c r="S51" s="3" t="n">
        <v>0.999998927116394</v>
      </c>
      <c r="T51" s="3" t="n">
        <v>4.450847370662814e-07</v>
      </c>
      <c r="U51" t="n">
        <v>749.4</v>
      </c>
    </row>
    <row r="52">
      <c r="A52" t="inlineStr">
        <is>
          <t>95.49_05-09-2026_15-34-51.webp</t>
        </is>
      </c>
      <c r="B52" t="inlineStr">
        <is>
          <t>уверенно</t>
        </is>
      </c>
      <c r="C52" t="inlineStr">
        <is>
          <t>zhemchuzhnaya-9-pino-nuar-muskat-rozovyj-2</t>
        </is>
      </c>
      <c r="D52" t="inlineStr">
        <is>
          <t>Жемчужная 9 Пино нуар, Мускат Розовый — АРАТТИ — Розовое полусладкое</t>
        </is>
      </c>
      <c r="F52" t="inlineStr">
        <is>
          <t>zhemchuzhnaya-9-pino-nuar-muskat-rozovyj-2</t>
        </is>
      </c>
      <c r="G52" t="inlineStr">
        <is>
          <t>zhemchuzhnaya-9-pino-nuar-muskat-rozovyj-1</t>
        </is>
      </c>
      <c r="H52" t="inlineStr">
        <is>
          <t>zhemchuzhnaya-9-pino-nuar-muskat-rozovyj</t>
        </is>
      </c>
      <c r="I52" t="inlineStr">
        <is>
          <t>zhemchuzhnaya-9-muskat-rozovyj-kaberne-sovinon</t>
        </is>
      </c>
      <c r="J52" t="inlineStr">
        <is>
          <t>zhemchuzhnaya-9-muskat-rozovyj-pino-gri</t>
        </is>
      </c>
      <c r="K52">
        <f>IF(C52="","",IFERROR(MATCH(C52,F52:J52,0),"нет"))</f>
        <v/>
      </c>
      <c r="L52">
        <f>IF(C52="","",IF(K52=1,1,0))</f>
        <v/>
      </c>
      <c r="M52">
        <f>IF(C52="","",IF(ISNUMBER(K52),1,0))</f>
        <v/>
      </c>
      <c r="N52" t="inlineStr">
        <is>
          <t>Жемчужная 9 Пино нуар, Мускат Розовый — АРАТТИ — Розовое полусладкое</t>
        </is>
      </c>
      <c r="O52" t="inlineStr">
        <is>
          <t>Жемчужная 9 Пино Нуар, Мускат розовый — АРАТТИ — Розовое полусухое</t>
        </is>
      </c>
      <c r="P52" t="inlineStr">
        <is>
          <t>Жемчужная 9 Пино Нуар, Мускат Розовый — АРАТТИ — Розовое сухое</t>
        </is>
      </c>
      <c r="Q52" t="inlineStr">
        <is>
          <t>Жемчужная 9 Мускат Розовый, Каберне Совиньон — АРАТТИ — Розовое полусладкое</t>
        </is>
      </c>
      <c r="R52" t="inlineStr">
        <is>
          <t>Жемчужная 9 Мускат Розовый, Пино гри — АРАТТИ — Розовое сухое</t>
        </is>
      </c>
      <c r="S52" s="3" t="n">
        <v>0.9999884366989136</v>
      </c>
      <c r="T52" s="3" t="n">
        <v>6.023504539598434e-08</v>
      </c>
      <c r="U52" t="n">
        <v>651</v>
      </c>
    </row>
    <row r="53">
      <c r="A53" t="inlineStr">
        <is>
          <t>95.63_24-08-2026_17-47-43.webp</t>
        </is>
      </c>
      <c r="B53" t="inlineStr">
        <is>
          <t>уверенно</t>
        </is>
      </c>
      <c r="C53" t="inlineStr">
        <is>
          <t>rubin-golodrigi</t>
        </is>
      </c>
      <c r="D53" t="inlineStr">
        <is>
          <t>Рубин Голодриги  — Табия — Красное сухое</t>
        </is>
      </c>
      <c r="F53" t="inlineStr">
        <is>
          <t>rubin-golodrigi</t>
        </is>
      </c>
      <c r="G53" t="inlineStr">
        <is>
          <t>kaberne-sovinon-2</t>
        </is>
      </c>
      <c r="H53" t="inlineStr">
        <is>
          <t>bukovinka</t>
        </is>
      </c>
      <c r="I53" t="inlineStr">
        <is>
          <t>roze-2</t>
        </is>
      </c>
      <c r="J53" t="inlineStr">
        <is>
          <t>rozovoe-zoloto</t>
        </is>
      </c>
      <c r="K53">
        <f>IF(C53="","",IFERROR(MATCH(C53,F53:J53,0),"нет"))</f>
        <v/>
      </c>
      <c r="L53">
        <f>IF(C53="","",IF(K53=1,1,0))</f>
        <v/>
      </c>
      <c r="M53">
        <f>IF(C53="","",IF(ISNUMBER(K53),1,0))</f>
        <v/>
      </c>
      <c r="N53" t="inlineStr">
        <is>
          <t>Рубин Голодриги  — Табия — Красное сухое</t>
        </is>
      </c>
      <c r="O53" t="inlineStr">
        <is>
          <t>Каберне Совиньон — Табия — Красное сухое</t>
        </is>
      </c>
      <c r="P53" t="inlineStr">
        <is>
          <t>Буковинка — Табия — Белое полусухое</t>
        </is>
      </c>
      <c r="Q53" t="inlineStr">
        <is>
          <t>Розе — Табия — Розовое сухое</t>
        </is>
      </c>
      <c r="R53" t="inlineStr">
        <is>
          <t>Розовое золото — Табия — Розовое полусухое</t>
        </is>
      </c>
      <c r="S53" s="3" t="n">
        <v>0.9999998807907104</v>
      </c>
      <c r="T53" s="3" t="n">
        <v>2.845334456935689e-08</v>
      </c>
      <c r="U53" t="n">
        <v>601.7</v>
      </c>
    </row>
    <row r="54">
      <c r="A54" t="inlineStr">
        <is>
          <t>95.75_02-09-2026_14-47-49.webp</t>
        </is>
      </c>
      <c r="B54" t="inlineStr">
        <is>
          <t>уверенно</t>
        </is>
      </c>
      <c r="C54" t="inlineStr">
        <is>
          <t>uva-vallis-risling</t>
        </is>
      </c>
      <c r="D54" t="inlineStr">
        <is>
          <t>Uva Vallis Рислинг — Uva Vallis — Красное сухое</t>
        </is>
      </c>
      <c r="F54" t="inlineStr">
        <is>
          <t>uva-vallis-risling</t>
        </is>
      </c>
      <c r="G54" t="inlineStr">
        <is>
          <t>uva-vallis-shardone</t>
        </is>
      </c>
      <c r="H54" t="inlineStr">
        <is>
          <t>uva-vallis-sovinon-blan</t>
        </is>
      </c>
      <c r="I54" t="inlineStr">
        <is>
          <t>uva-vallis-sira</t>
        </is>
      </c>
      <c r="J54" t="inlineStr">
        <is>
          <t>agora-rosa-viva-riesling</t>
        </is>
      </c>
      <c r="K54">
        <f>IF(C54="","",IFERROR(MATCH(C54,F54:J54,0),"нет"))</f>
        <v/>
      </c>
      <c r="L54">
        <f>IF(C54="","",IF(K54=1,1,0))</f>
        <v/>
      </c>
      <c r="M54">
        <f>IF(C54="","",IF(ISNUMBER(K54),1,0))</f>
        <v/>
      </c>
      <c r="N54" t="inlineStr">
        <is>
          <t>Uva Vallis Рислинг — Uva Vallis — Красное сухое</t>
        </is>
      </c>
      <c r="O54" t="inlineStr">
        <is>
          <t>Uva Vallis Шардоне — Uva Vallis — Белое сухое</t>
        </is>
      </c>
      <c r="P54" t="inlineStr">
        <is>
          <t>Uva Vallis Совиньон Блан — Uva Vallis — Белое сухое</t>
        </is>
      </c>
      <c r="Q54" t="inlineStr">
        <is>
          <t>Uva Vallis Сира — Uva Vallis — Красное сухое</t>
        </is>
      </c>
      <c r="R54" t="inlineStr">
        <is>
          <t>Agora ROSA VIVA Riesling — AGORA WINERY — Белое сухое</t>
        </is>
      </c>
      <c r="S54" s="3" t="n">
        <v>0.9999995231628418</v>
      </c>
      <c r="T54" s="3" t="n">
        <v>3.466325892986788e-07</v>
      </c>
      <c r="U54" t="n">
        <v>636.6</v>
      </c>
    </row>
    <row r="55">
      <c r="A55" t="inlineStr">
        <is>
          <t>95.76_23-08-2026_18-19-43.webp</t>
        </is>
      </c>
      <c r="B55" t="inlineStr">
        <is>
          <t>уверенно</t>
        </is>
      </c>
      <c r="C55" t="inlineStr">
        <is>
          <t>denisov_barynya_kurmyshi</t>
        </is>
      </c>
      <c r="D55" t="inlineStr">
        <is>
          <t>Барыня. Курмыши — Denisov Winery — Розовое сухое</t>
        </is>
      </c>
      <c r="F55" t="inlineStr">
        <is>
          <t>denisov_barynya_kurmyshi</t>
        </is>
      </c>
      <c r="G55" t="inlineStr">
        <is>
          <t>denisov_pereplyas_kurmyshi</t>
        </is>
      </c>
      <c r="H55" t="inlineStr">
        <is>
          <t>denisov-winery-assamblyazh-rubin-golodrigi-rozovoe-suhoe-12</t>
        </is>
      </c>
      <c r="I55" t="inlineStr">
        <is>
          <t>zakat-denisov-vajneri</t>
        </is>
      </c>
      <c r="J55" t="inlineStr">
        <is>
          <t>denisov_pino_noir_klaret</t>
        </is>
      </c>
      <c r="K55">
        <f>IF(C55="","",IFERROR(MATCH(C55,F55:J55,0),"нет"))</f>
        <v/>
      </c>
      <c r="L55">
        <f>IF(C55="","",IF(K55=1,1,0))</f>
        <v/>
      </c>
      <c r="M55">
        <f>IF(C55="","",IF(ISNUMBER(K55),1,0))</f>
        <v/>
      </c>
      <c r="N55" t="inlineStr">
        <is>
          <t>Барыня. Курмыши — Denisov Winery — Розовое сухое</t>
        </is>
      </c>
      <c r="O55" t="inlineStr">
        <is>
          <t>Перепляс. Курмыши — Denisov Winery — Розовое сухое</t>
        </is>
      </c>
      <c r="P55" t="inlineStr">
        <is>
          <t>Ассамбляж — Denisov Winery — Розовое сухое</t>
        </is>
      </c>
      <c r="Q55" t="inlineStr">
        <is>
          <t>Закат. Денисов Вайнери — Denisov Winery — Розовое сухое</t>
        </is>
      </c>
      <c r="R55" t="inlineStr">
        <is>
          <t>Пино Нуар кларет. Красная стрелка — Denisov Winery — Розовое сухое</t>
        </is>
      </c>
      <c r="S55" s="3" t="n">
        <v>0.9999923706054688</v>
      </c>
      <c r="T55" s="3" t="n">
        <v>8.315223567478824e-07</v>
      </c>
      <c r="U55" t="n">
        <v>807.9</v>
      </c>
    </row>
    <row r="56">
      <c r="A56" t="inlineStr">
        <is>
          <t>95.88_02-09-2026_14-41-59.webp</t>
        </is>
      </c>
      <c r="B56" t="inlineStr">
        <is>
          <t>уверенно</t>
        </is>
      </c>
      <c r="C56" t="inlineStr">
        <is>
          <t>fanagoriya-zelyonoe-vino-risling-tsitronnyy-magaracha-beloe-polusuhoe-11</t>
        </is>
      </c>
      <c r="D56" t="inlineStr">
        <is>
          <t>Зелёное вино. Рислинг - Цитронный Магарача — Фанагория — Белое полусухое</t>
        </is>
      </c>
      <c r="F56" t="inlineStr">
        <is>
          <t>fanagoriya-zelyonoe-vino-risling-tsitronnyy-magaracha-beloe-polusuhoe-11</t>
        </is>
      </c>
      <c r="G56" t="inlineStr">
        <is>
          <t>fanagoriya-zelyonoe-vino-risling-tsitronnyy-magaracha-merlo-rozovoe-polusuhoe-11</t>
        </is>
      </c>
      <c r="H56" t="inlineStr">
        <is>
          <t>fanagoriya-dekanter-riesling-2020-risling-reynskiy-beloe-suhoe-13</t>
        </is>
      </c>
      <c r="I56" t="inlineStr">
        <is>
          <t>fanagoriya-100-ottenkov-shardone-beloe-suhoe-14</t>
        </is>
      </c>
      <c r="J56" t="inlineStr">
        <is>
          <t>blagolyubov-stanichnoe-stanichnyy-beloe-suhoe-12</t>
        </is>
      </c>
      <c r="K56">
        <f>IF(C56="","",IFERROR(MATCH(C56,F56:J56,0),"нет"))</f>
        <v/>
      </c>
      <c r="L56">
        <f>IF(C56="","",IF(K56=1,1,0))</f>
        <v/>
      </c>
      <c r="M56">
        <f>IF(C56="","",IF(ISNUMBER(K56),1,0))</f>
        <v/>
      </c>
      <c r="N56" t="inlineStr">
        <is>
          <t>Зелёное вино. Рислинг - Цитронный Магарача — Фанагория — Белое полусухое</t>
        </is>
      </c>
      <c r="O56" t="inlineStr">
        <is>
          <t>Зелёное вино. Рислинг - Цитронный Магарача - Мерло — Фанагория — Розовое полусухое</t>
        </is>
      </c>
      <c r="P56" t="inlineStr">
        <is>
          <t>Декантер Riesling 2020 — Фанагория — Белое сухое</t>
        </is>
      </c>
      <c r="Q56" t="inlineStr">
        <is>
          <t>100 оттенков. Шардоне — Фанагория — Белое сухое</t>
        </is>
      </c>
      <c r="R56" t="inlineStr">
        <is>
          <t>Станичное — Благолюбов — Белое сухое</t>
        </is>
      </c>
      <c r="S56" s="3" t="n">
        <v>0.9999998807907104</v>
      </c>
      <c r="T56" s="3" t="n">
        <v>8.764247638737288e-08</v>
      </c>
      <c r="U56" t="n">
        <v>1039.7</v>
      </c>
    </row>
    <row r="57">
      <c r="A57" t="inlineStr">
        <is>
          <t>95.8_19-08-2026_19-33-23.webp</t>
        </is>
      </c>
      <c r="B57" t="inlineStr">
        <is>
          <t>уверенно</t>
        </is>
      </c>
      <c r="C57" t="inlineStr">
        <is>
          <t>roze-2</t>
        </is>
      </c>
      <c r="D57" t="inlineStr">
        <is>
          <t>Розе — Табия — Розовое сухое</t>
        </is>
      </c>
      <c r="F57" t="inlineStr">
        <is>
          <t>roze-2</t>
        </is>
      </c>
      <c r="G57" t="inlineStr">
        <is>
          <t>rozovoe-zoloto</t>
        </is>
      </c>
      <c r="H57" t="inlineStr">
        <is>
          <t>bukovinka</t>
        </is>
      </c>
      <c r="I57" t="inlineStr">
        <is>
          <t>rubin-golodrigi</t>
        </is>
      </c>
      <c r="J57" t="inlineStr">
        <is>
          <t>oleg</t>
        </is>
      </c>
      <c r="K57">
        <f>IF(C57="","",IFERROR(MATCH(C57,F57:J57,0),"нет"))</f>
        <v/>
      </c>
      <c r="L57">
        <f>IF(C57="","",IF(K57=1,1,0))</f>
        <v/>
      </c>
      <c r="M57">
        <f>IF(C57="","",IF(ISNUMBER(K57),1,0))</f>
        <v/>
      </c>
      <c r="N57" t="inlineStr">
        <is>
          <t>Розе — Табия — Розовое сухое</t>
        </is>
      </c>
      <c r="O57" t="inlineStr">
        <is>
          <t>Розовое золото — Табия — Розовое полусухое</t>
        </is>
      </c>
      <c r="P57" t="inlineStr">
        <is>
          <t>Буковинка — Табия — Белое полусухое</t>
        </is>
      </c>
      <c r="Q57" t="inlineStr">
        <is>
          <t>Рубин Голодриги  — Табия — Красное сухое</t>
        </is>
      </c>
      <c r="R57" t="inlineStr">
        <is>
          <t>Олег — Табия — Белое сухое</t>
        </is>
      </c>
      <c r="S57" s="3" t="n">
        <v>0.9999990463256836</v>
      </c>
      <c r="T57" s="3" t="n">
        <v>5.715002089345944e-07</v>
      </c>
      <c r="U57" t="n">
        <v>569.2</v>
      </c>
    </row>
    <row r="58">
      <c r="A58" t="inlineStr">
        <is>
          <t>95.8_19-08-2026_20-47-59.webp</t>
        </is>
      </c>
      <c r="B58" t="inlineStr">
        <is>
          <t>не уверен</t>
        </is>
      </c>
      <c r="C58" t="inlineStr">
        <is>
          <t>denisov-winery-sovinon-blan-beloe-suhoe-115</t>
        </is>
      </c>
      <c r="D58" t="inlineStr">
        <is>
          <t>Совиньон Блан — Denisov Winery — Белое сухое</t>
        </is>
      </c>
      <c r="E58" t="inlineStr">
        <is>
          <t>этикетка по цвету другая</t>
        </is>
      </c>
      <c r="F58" t="inlineStr">
        <is>
          <t>denisov-winery-sovinon-blan-beloe-suhoe-115</t>
        </is>
      </c>
      <c r="G58" t="inlineStr">
        <is>
          <t>sovinon-blan-krasnaya-gorka</t>
        </is>
      </c>
      <c r="H58" t="inlineStr">
        <is>
          <t>dubinin-winery-sovinon-blan-beloe-suhoe-12</t>
        </is>
      </c>
      <c r="I58" t="inlineStr">
        <is>
          <t>sovinon-blan</t>
        </is>
      </c>
      <c r="J58" t="inlineStr">
        <is>
          <t>blagolyubov-sovinon-blan-beloe-suhoe-125</t>
        </is>
      </c>
      <c r="K58">
        <f>IF(C58="","",IFERROR(MATCH(C58,F58:J58,0),"нет"))</f>
        <v/>
      </c>
      <c r="L58">
        <f>IF(C58="","",IF(K58=1,1,0))</f>
        <v/>
      </c>
      <c r="M58">
        <f>IF(C58="","",IF(ISNUMBER(K58),1,0))</f>
        <v/>
      </c>
      <c r="N58" t="inlineStr">
        <is>
          <t>Совиньон Блан — Denisov Winery — Белое сухое</t>
        </is>
      </c>
      <c r="O58" t="inlineStr">
        <is>
          <t>Совиньон Блан — Галицкий и Галицкий — Белое сухое</t>
        </is>
      </c>
      <c r="P58" t="inlineStr">
        <is>
          <t>Совиньон Блан — Dubinin Winery — Белое сухое</t>
        </is>
      </c>
      <c r="Q58" t="inlineStr">
        <is>
          <t>Совиньон Блан — Литавщук. Litavshchuk vineyards &amp; winery — Белое полусладкое</t>
        </is>
      </c>
      <c r="R58" t="inlineStr">
        <is>
          <t>Совиньон Блан — Благолюбов — Белое сухое</t>
        </is>
      </c>
      <c r="S58" s="3" t="n">
        <v>0.9999837875366211</v>
      </c>
      <c r="T58" s="3" t="n">
        <v>4.785039891430642e-06</v>
      </c>
      <c r="U58" t="n">
        <v>917.2</v>
      </c>
    </row>
    <row r="59">
      <c r="A59" t="inlineStr">
        <is>
          <t>96.05_28-08-2026_09-14-57.webp</t>
        </is>
      </c>
      <c r="B59" t="inlineStr">
        <is>
          <t>нет в каталоге</t>
        </is>
      </c>
      <c r="F59" t="inlineStr">
        <is>
          <t>usadba-divnomorskoe-solist-marselan-rozovoe-suhoe-115</t>
        </is>
      </c>
      <c r="G59" t="inlineStr">
        <is>
          <t>usadba-divnomorskoe-yuzhnyy-les-merlo-krasnoe-suhoe-137</t>
        </is>
      </c>
      <c r="H59" t="inlineStr">
        <is>
          <t>usadba-divnomorskoe-holodnyy-tuman-risling-beloe-suhoe-115</t>
        </is>
      </c>
      <c r="I59" t="inlineStr">
        <is>
          <t>usadba-divnomorskoe-solnechnyy-veter-shardone-beloe-suhoe-125</t>
        </is>
      </c>
      <c r="J59" t="inlineStr">
        <is>
          <t>vinodelnya-vedernikov-vedernikov-krasnostop-zolotovskiy-magnum-krasnoe-suhoe-145</t>
        </is>
      </c>
      <c r="K59">
        <f>IF(C59="","",IFERROR(MATCH(C59,F59:J59,0),"нет"))</f>
        <v/>
      </c>
      <c r="L59">
        <f>IF(C59="","",IF(K59=1,1,0))</f>
        <v/>
      </c>
      <c r="M59">
        <f>IF(C59="","",IF(ISNUMBER(K59),1,0))</f>
        <v/>
      </c>
      <c r="N59" t="inlineStr">
        <is>
          <t>Солист — Усадьба Дивноморское — Розовое сухое</t>
        </is>
      </c>
      <c r="O59" t="inlineStr">
        <is>
          <t>Южный Лес — Усадьба Дивноморское — Красное сухое</t>
        </is>
      </c>
      <c r="P59" t="inlineStr">
        <is>
          <t>Холодный Туман — Усадьба Дивноморское — Белое сухое</t>
        </is>
      </c>
      <c r="Q59" t="inlineStr">
        <is>
          <t>Солнечный Ветер — Усадьба Дивноморское — Белое сухое</t>
        </is>
      </c>
      <c r="R59" t="inlineStr">
        <is>
          <t>Ведерниковъ Красностоп Золотовский (магнум) — Ведерниковъ — Красное сухое</t>
        </is>
      </c>
      <c r="S59" s="3" t="n">
        <v>0.7255887389183044</v>
      </c>
      <c r="T59" s="3" t="n">
        <v>0.003360142698511481</v>
      </c>
      <c r="U59" t="n">
        <v>1188.6</v>
      </c>
    </row>
    <row r="60">
      <c r="A60" t="inlineStr">
        <is>
          <t>96.07_28-08-2026_16-10-06.webp</t>
        </is>
      </c>
      <c r="B60" t="inlineStr">
        <is>
          <t>уверенно</t>
        </is>
      </c>
      <c r="C60" t="inlineStr">
        <is>
          <t>golubitskoe-estate-kaberne-sovinon-krasnoe-suhoe-137</t>
        </is>
      </c>
      <c r="D60" t="inlineStr">
        <is>
          <t>Каберне Совиньон — Golubitskoe Estate — Красное сухое</t>
        </is>
      </c>
      <c r="F60" t="inlineStr">
        <is>
          <t>golubitskoe-estate-kaberne-sovinon-krasnoe-suhoe-137</t>
        </is>
      </c>
      <c r="G60" t="inlineStr">
        <is>
          <t>golubitskoe-estate-red-blend-kaberne-sovinon-krasnoe-suhoe-136</t>
        </is>
      </c>
      <c r="H60" t="inlineStr">
        <is>
          <t>golubitskoe-estate-kaberne-sovinon-rezerv-krasnoe-suhoe-125</t>
        </is>
      </c>
      <c r="I60" t="inlineStr">
        <is>
          <t>pomeste-golubitskoe-kaberne-sovinon-rezerv-krasnoe-suhoe-143</t>
        </is>
      </c>
      <c r="J60" t="inlineStr">
        <is>
          <t>golubitskoe-estate-sovinon-blan-beloe-suhoe-11</t>
        </is>
      </c>
      <c r="K60">
        <f>IF(C60="","",IFERROR(MATCH(C60,F60:J60,0),"нет"))</f>
        <v/>
      </c>
      <c r="L60">
        <f>IF(C60="","",IF(K60=1,1,0))</f>
        <v/>
      </c>
      <c r="M60">
        <f>IF(C60="","",IF(ISNUMBER(K60),1,0))</f>
        <v/>
      </c>
      <c r="N60" t="inlineStr">
        <is>
          <t>Каберне Совиньон — Golubitskoe Estate — Красное сухое</t>
        </is>
      </c>
      <c r="O60" t="inlineStr">
        <is>
          <t>Red Blend — Golubitskoe Estate — Красное сухое</t>
        </is>
      </c>
      <c r="P60" t="inlineStr">
        <is>
          <t>Каберне Совиньон Резерв — Golubitskoe Estate — Красное сухое</t>
        </is>
      </c>
      <c r="Q60" t="inlineStr">
        <is>
          <t>Каберне Совиньон Резерв — Golubitskoe Estate — Красное сухое</t>
        </is>
      </c>
      <c r="R60" t="inlineStr">
        <is>
          <t>Совиньон Блан — Golubitskoe Estate — Белое сухое</t>
        </is>
      </c>
      <c r="S60" s="3" t="n">
        <v>0.9999966621398926</v>
      </c>
      <c r="T60" s="3" t="n">
        <v>1.760340410328354e-06</v>
      </c>
      <c r="U60" t="n">
        <v>774.6</v>
      </c>
    </row>
    <row r="61">
      <c r="A61" t="inlineStr">
        <is>
          <t>96.08_22-08-2026_15-12-27.webp</t>
        </is>
      </c>
      <c r="B61" t="inlineStr">
        <is>
          <t>уверенно</t>
        </is>
      </c>
      <c r="C61" t="inlineStr">
        <is>
          <t>zhemchuzhnaya-9-czitron-shardone-1</t>
        </is>
      </c>
      <c r="D61" t="inlineStr">
        <is>
          <t>Жемчужная 9 Цитрон, Шардоне — АРАТТИ — Белое полусладкое</t>
        </is>
      </c>
      <c r="F61" t="inlineStr">
        <is>
          <t>zhemchuzhnaya-9-czitron-shardone-1</t>
        </is>
      </c>
      <c r="G61" t="inlineStr">
        <is>
          <t>zhemchuzhnaya-9-czitron-shardone</t>
        </is>
      </c>
      <c r="H61" t="inlineStr">
        <is>
          <t>czitronnyj-magaracha-sovinon-blan</t>
        </is>
      </c>
      <c r="I61" t="inlineStr">
        <is>
          <t>zhemchuzhnaya-9-aligote-czitron</t>
        </is>
      </c>
      <c r="J61" t="inlineStr">
        <is>
          <t>zhemchuzhnaya-9-risling-sovinon-blan</t>
        </is>
      </c>
      <c r="K61">
        <f>IF(C61="","",IFERROR(MATCH(C61,F61:J61,0),"нет"))</f>
        <v/>
      </c>
      <c r="L61">
        <f>IF(C61="","",IF(K61=1,1,0))</f>
        <v/>
      </c>
      <c r="M61">
        <f>IF(C61="","",IF(ISNUMBER(K61),1,0))</f>
        <v/>
      </c>
      <c r="N61" t="inlineStr">
        <is>
          <t>Жемчужная 9 Цитрон, Шардоне — АРАТТИ — Белое полусладкое</t>
        </is>
      </c>
      <c r="O61" t="inlineStr">
        <is>
          <t>Жемчужная 9 Цитрон, Шардоне — АРАТТИ — Белое сухое</t>
        </is>
      </c>
      <c r="P61" t="inlineStr">
        <is>
          <t>Жемчужная 9 Цитрон, Совиньон блан — АРАТТИ — Белое полусухое</t>
        </is>
      </c>
      <c r="Q61" t="inlineStr">
        <is>
          <t>Жемчужная 9 Алиготе, Цитрон — АРАТТИ — Белое сухое</t>
        </is>
      </c>
      <c r="R61" t="inlineStr">
        <is>
          <t>Жемчужная 9 Рислинг,Совиньон блан — АРАТТИ — Белое полусухое</t>
        </is>
      </c>
      <c r="S61" s="3" t="n">
        <v>0.9999997615814209</v>
      </c>
      <c r="T61" s="3" t="n">
        <v>4.139936748970285e-08</v>
      </c>
      <c r="U61" t="n">
        <v>636.4</v>
      </c>
    </row>
    <row r="62">
      <c r="A62" t="inlineStr">
        <is>
          <t>96.08_28-08-2026_16-29-50.webp</t>
        </is>
      </c>
      <c r="B62" t="inlineStr">
        <is>
          <t>уверенно</t>
        </is>
      </c>
      <c r="C62" t="inlineStr">
        <is>
          <t>golubitskoe-estate-merlo-krasnoe-suhoe-135</t>
        </is>
      </c>
      <c r="D62" t="inlineStr">
        <is>
          <t>Мерло — Golubitskoe Estate — Красное сухое</t>
        </is>
      </c>
      <c r="F62" t="inlineStr">
        <is>
          <t>golubitskoe-estate-merlo-krasnoe-suhoe-135</t>
        </is>
      </c>
      <c r="G62" t="inlineStr">
        <is>
          <t>golubitskoe-estate-merlo-rezerv-krasnoe-suhoe-135</t>
        </is>
      </c>
      <c r="H62" t="inlineStr">
        <is>
          <t>golubitskoe-estate-red-blend-kaberne-sovinon-krasnoe-suhoe-136</t>
        </is>
      </c>
      <c r="I62" t="inlineStr">
        <is>
          <t>golubitskoe-estate-pino-nuar-rezerv-krasnoe-suhoe-132</t>
        </is>
      </c>
      <c r="J62" t="inlineStr">
        <is>
          <t>pomeste-golubitskoe-kaberne-sovinon-rezerv-krasnoe-suhoe-143</t>
        </is>
      </c>
      <c r="K62">
        <f>IF(C62="","",IFERROR(MATCH(C62,F62:J62,0),"нет"))</f>
        <v/>
      </c>
      <c r="L62">
        <f>IF(C62="","",IF(K62=1,1,0))</f>
        <v/>
      </c>
      <c r="M62">
        <f>IF(C62="","",IF(ISNUMBER(K62),1,0))</f>
        <v/>
      </c>
      <c r="N62" t="inlineStr">
        <is>
          <t>Мерло — Golubitskoe Estate — Красное сухое</t>
        </is>
      </c>
      <c r="O62" t="inlineStr">
        <is>
          <t>Мерло Резерв — Golubitskoe Estate — Красное сухое</t>
        </is>
      </c>
      <c r="P62" t="inlineStr">
        <is>
          <t>Red Blend — Golubitskoe Estate — Красное сухое</t>
        </is>
      </c>
      <c r="Q62" t="inlineStr">
        <is>
          <t>Пино Нуар Резерв — Golubitskoe Estate — Красное сухое</t>
        </is>
      </c>
      <c r="R62" t="inlineStr">
        <is>
          <t>Каберне Совиньон Резерв — Golubitskoe Estate — Красное сухое</t>
        </is>
      </c>
      <c r="S62" s="3" t="n">
        <v>0.9999996423721313</v>
      </c>
      <c r="T62" s="3" t="n">
        <v>2.382368791131739e-07</v>
      </c>
      <c r="U62" t="n">
        <v>748.8</v>
      </c>
    </row>
    <row r="63">
      <c r="A63" t="inlineStr">
        <is>
          <t>96.11_22-08-2026_21-29-20.webp</t>
        </is>
      </c>
      <c r="B63" t="inlineStr">
        <is>
          <t>нет в каталоге</t>
        </is>
      </c>
      <c r="F63" t="inlineStr">
        <is>
          <t>abrau-dyurso-imperatorskoe-bryut-shardone-beloe-12</t>
        </is>
      </c>
      <c r="G63" t="inlineStr">
        <is>
          <t>aristov-anima-millesimato-beloe-bryut</t>
        </is>
      </c>
      <c r="H63" t="inlineStr">
        <is>
          <t>abrau-dyurso-udelnoe-vedomstvo-imperatorskoe-beloe-bryut</t>
        </is>
      </c>
      <c r="I63" t="inlineStr">
        <is>
          <t>abrau-dyurso-imperial-brut-vintage-shardone-beloe-bryut-12</t>
        </is>
      </c>
      <c r="J63" t="inlineStr">
        <is>
          <t>aristov-anima-pinot-grigio-blush</t>
        </is>
      </c>
      <c r="K63">
        <f>IF(C63="","",IFERROR(MATCH(C63,F63:J63,0),"нет"))</f>
        <v/>
      </c>
      <c r="L63">
        <f>IF(C63="","",IF(K63=1,1,0))</f>
        <v/>
      </c>
      <c r="M63">
        <f>IF(C63="","",IF(ISNUMBER(K63),1,0))</f>
        <v/>
      </c>
      <c r="N63" t="inlineStr">
        <is>
          <t>Императорское брют — Абрау-Дюрсо — Белое брют</t>
        </is>
      </c>
      <c r="O63" t="inlineStr">
        <is>
          <t>Аристов ANIMA Millesimato белое брют — Кубань-Вино — Белое брют</t>
        </is>
      </c>
      <c r="P63" t="inlineStr">
        <is>
          <t>Абрау Дюрсо Удельное Ведомство Императорское белое брют — Абрау-Дюрсо — Белое брют</t>
        </is>
      </c>
      <c r="Q63" t="inlineStr">
        <is>
          <t>Империал. Brut Vintage — Абрау-Дюрсо — Белое брют</t>
        </is>
      </c>
      <c r="R63" t="inlineStr">
        <is>
          <t>Аристов Anima Pinot Grigio Blush — Кубань-Вино — Розовое брют</t>
        </is>
      </c>
      <c r="S63" s="3" t="n">
        <v>0.9933695197105408</v>
      </c>
      <c r="T63" s="3" t="n">
        <v>0.002790170721709728</v>
      </c>
      <c r="U63" t="n">
        <v>779.6</v>
      </c>
    </row>
    <row r="64">
      <c r="A64" t="inlineStr">
        <is>
          <t>96.13_19-08-2026_19-33-10.webp</t>
        </is>
      </c>
      <c r="B64" t="inlineStr">
        <is>
          <t>уверенно</t>
        </is>
      </c>
      <c r="C64" t="inlineStr">
        <is>
          <t>roze-2</t>
        </is>
      </c>
      <c r="D64" t="inlineStr">
        <is>
          <t>Розе — Табия — Розовое сухое</t>
        </is>
      </c>
      <c r="F64" t="inlineStr">
        <is>
          <t>roze-2</t>
        </is>
      </c>
      <c r="G64" t="inlineStr">
        <is>
          <t>rozovoe-zoloto</t>
        </is>
      </c>
      <c r="H64" t="inlineStr">
        <is>
          <t>kaberne-sovinon-2</t>
        </is>
      </c>
      <c r="I64" t="inlineStr">
        <is>
          <t>oleg</t>
        </is>
      </c>
      <c r="J64" t="inlineStr">
        <is>
          <t>bukovinka</t>
        </is>
      </c>
      <c r="K64">
        <f>IF(C64="","",IFERROR(MATCH(C64,F64:J64,0),"нет"))</f>
        <v/>
      </c>
      <c r="L64">
        <f>IF(C64="","",IF(K64=1,1,0))</f>
        <v/>
      </c>
      <c r="M64">
        <f>IF(C64="","",IF(ISNUMBER(K64),1,0))</f>
        <v/>
      </c>
      <c r="N64" t="inlineStr">
        <is>
          <t>Розе — Табия — Розовое сухое</t>
        </is>
      </c>
      <c r="O64" t="inlineStr">
        <is>
          <t>Розовое золото — Табия — Розовое полусухое</t>
        </is>
      </c>
      <c r="P64" t="inlineStr">
        <is>
          <t>Каберне Совиньон — Табия — Красное сухое</t>
        </is>
      </c>
      <c r="Q64" t="inlineStr">
        <is>
          <t>Олег — Табия — Белое сухое</t>
        </is>
      </c>
      <c r="R64" t="inlineStr">
        <is>
          <t>Буковинка — Табия — Белое полусухое</t>
        </is>
      </c>
      <c r="S64" s="3" t="n">
        <v>0.9999990463256836</v>
      </c>
      <c r="T64" s="3" t="n">
        <v>5.043472128818394e-07</v>
      </c>
      <c r="U64" t="n">
        <v>470.6</v>
      </c>
    </row>
    <row r="65">
      <c r="A65" t="inlineStr">
        <is>
          <t>96.15_22-08-2026_20-56-09.webp</t>
        </is>
      </c>
      <c r="B65" t="inlineStr">
        <is>
          <t>уверенно</t>
        </is>
      </c>
      <c r="C65" t="inlineStr">
        <is>
          <t>roze-2</t>
        </is>
      </c>
      <c r="D65" t="inlineStr">
        <is>
          <t>Розе — Табия — Розовое сухое</t>
        </is>
      </c>
      <c r="F65" t="inlineStr">
        <is>
          <t>roze-2</t>
        </is>
      </c>
      <c r="G65" t="inlineStr">
        <is>
          <t>rozovoe-zoloto</t>
        </is>
      </c>
      <c r="H65" t="inlineStr">
        <is>
          <t>bukovinka</t>
        </is>
      </c>
      <c r="I65" t="inlineStr">
        <is>
          <t>rubin-golodrigi</t>
        </is>
      </c>
      <c r="J65" t="inlineStr">
        <is>
          <t>oleg</t>
        </is>
      </c>
      <c r="K65">
        <f>IF(C65="","",IFERROR(MATCH(C65,F65:J65,0),"нет"))</f>
        <v/>
      </c>
      <c r="L65">
        <f>IF(C65="","",IF(K65=1,1,0))</f>
        <v/>
      </c>
      <c r="M65">
        <f>IF(C65="","",IF(ISNUMBER(K65),1,0))</f>
        <v/>
      </c>
      <c r="N65" t="inlineStr">
        <is>
          <t>Розе — Табия — Розовое сухое</t>
        </is>
      </c>
      <c r="O65" t="inlineStr">
        <is>
          <t>Розовое золото — Табия — Розовое полусухое</t>
        </is>
      </c>
      <c r="P65" t="inlineStr">
        <is>
          <t>Буковинка — Табия — Белое полусухое</t>
        </is>
      </c>
      <c r="Q65" t="inlineStr">
        <is>
          <t>Рубин Голодриги  — Табия — Красное сухое</t>
        </is>
      </c>
      <c r="R65" t="inlineStr">
        <is>
          <t>Олег — Табия — Белое сухое</t>
        </is>
      </c>
      <c r="S65" s="3" t="n">
        <v>0.9999955892562866</v>
      </c>
      <c r="T65" s="3" t="n">
        <v>1.067699372470088e-06</v>
      </c>
      <c r="U65" t="n">
        <v>565.7</v>
      </c>
    </row>
    <row r="66">
      <c r="A66" t="inlineStr">
        <is>
          <t>96.27_20-08-2026_16-26-30.webp</t>
        </is>
      </c>
      <c r="B66" t="inlineStr">
        <is>
          <t>уверенно</t>
        </is>
      </c>
      <c r="C66" t="inlineStr">
        <is>
          <t>zhemchuzhnaya-9-pino-nuar-muskat-rozovyj-1</t>
        </is>
      </c>
      <c r="D66" t="inlineStr">
        <is>
          <t>Жемчужная 9 Пино Нуар, Мускат розовый — АРАТТИ — Розовое полусухое</t>
        </is>
      </c>
      <c r="F66" t="inlineStr">
        <is>
          <t>zhemchuzhnaya-9-pino-nuar-muskat-rozovyj-1</t>
        </is>
      </c>
      <c r="G66" t="inlineStr">
        <is>
          <t>zhemchuzhnaya-9-pino-nuar-muskat-rozovyj</t>
        </is>
      </c>
      <c r="H66" t="inlineStr">
        <is>
          <t>zhemchuzhnaya-9-pino-nuar-muskat-rozovyj-2</t>
        </is>
      </c>
      <c r="I66" t="inlineStr">
        <is>
          <t>zhemchuzhnaya-9-muskat-rozovyj-pino-gri</t>
        </is>
      </c>
      <c r="J66" t="inlineStr">
        <is>
          <t>zhemchuzhnaya-9-muskat-rozovyj-kaberne-sovinon</t>
        </is>
      </c>
      <c r="K66">
        <f>IF(C66="","",IFERROR(MATCH(C66,F66:J66,0),"нет"))</f>
        <v/>
      </c>
      <c r="L66">
        <f>IF(C66="","",IF(K66=1,1,0))</f>
        <v/>
      </c>
      <c r="M66">
        <f>IF(C66="","",IF(ISNUMBER(K66),1,0))</f>
        <v/>
      </c>
      <c r="N66" t="inlineStr">
        <is>
          <t>Жемчужная 9 Пино Нуар, Мускат розовый — АРАТТИ — Розовое полусухое</t>
        </is>
      </c>
      <c r="O66" t="inlineStr">
        <is>
          <t>Жемчужная 9 Пино Нуар, Мускат Розовый — АРАТТИ — Розовое сухое</t>
        </is>
      </c>
      <c r="P66" t="inlineStr">
        <is>
          <t>Жемчужная 9 Пино нуар, Мускат Розовый — АРАТТИ — Розовое полусладкое</t>
        </is>
      </c>
      <c r="Q66" t="inlineStr">
        <is>
          <t>Жемчужная 9 Мускат Розовый, Пино гри — АРАТТИ — Розовое сухое</t>
        </is>
      </c>
      <c r="R66" t="inlineStr">
        <is>
          <t>Жемчужная 9 Мускат Розовый, Каберне Совиньон — АРАТТИ — Розовое полусладкое</t>
        </is>
      </c>
      <c r="S66" s="3" t="n">
        <v>0.9999996423721313</v>
      </c>
      <c r="T66" s="3" t="n">
        <v>5.315783724313405e-08</v>
      </c>
      <c r="U66" t="n">
        <v>677</v>
      </c>
    </row>
    <row r="67">
      <c r="A67" t="inlineStr">
        <is>
          <t>96.29_21-08-2026_19-39-02.webp</t>
        </is>
      </c>
      <c r="B67" t="inlineStr">
        <is>
          <t>не уверен</t>
        </is>
      </c>
      <c r="C67" t="inlineStr">
        <is>
          <t>denisov-winery-sovinon-blan-beloe-suhoe-115</t>
        </is>
      </c>
      <c r="D67" t="inlineStr">
        <is>
          <t>Совиньон Блан — Denisov Winery — Белое сухое</t>
        </is>
      </c>
      <c r="E67" t="inlineStr">
        <is>
          <t>этикетка немного другая. в slug черная, а на фото белая</t>
        </is>
      </c>
      <c r="F67" t="inlineStr">
        <is>
          <t>denisov-winery-sovinon-blan-beloe-suhoe-115</t>
        </is>
      </c>
      <c r="G67" t="inlineStr">
        <is>
          <t>dubinin-winery-sovinon-blan-beloe-suhoe-12</t>
        </is>
      </c>
      <c r="H67" t="inlineStr">
        <is>
          <t>zhemchuzhnaya-9-sovinon-blan-aligote</t>
        </is>
      </c>
      <c r="I67" t="inlineStr">
        <is>
          <t>blagolyubov-sovinon-blan-beloe-suhoe-125</t>
        </is>
      </c>
      <c r="J67" t="inlineStr">
        <is>
          <t>vinodelnya-myshako-sovinon-blan-avtorskaya-tehnologiya-mono-beloe-suhoe-128</t>
        </is>
      </c>
      <c r="K67">
        <f>IF(C67="","",IFERROR(MATCH(C67,F67:J67,0),"нет"))</f>
        <v/>
      </c>
      <c r="L67">
        <f>IF(C67="","",IF(K67=1,1,0))</f>
        <v/>
      </c>
      <c r="M67">
        <f>IF(C67="","",IF(ISNUMBER(K67),1,0))</f>
        <v/>
      </c>
      <c r="N67" t="inlineStr">
        <is>
          <t>Совиньон Блан — Denisov Winery — Белое сухое</t>
        </is>
      </c>
      <c r="O67" t="inlineStr">
        <is>
          <t>Совиньон Блан — Dubinin Winery — Белое сухое</t>
        </is>
      </c>
      <c r="P67" t="inlineStr">
        <is>
          <t>Жемчужная 9 Совиньон блан, Алиготе — АРАТТИ — Белое сухое</t>
        </is>
      </c>
      <c r="Q67" t="inlineStr">
        <is>
          <t>Совиньон Блан — Благолюбов — Белое сухое</t>
        </is>
      </c>
      <c r="R67" t="inlineStr">
        <is>
          <t>Совиньон Блан. Авторская технология. Моно — Мысхако — Белое сухое</t>
        </is>
      </c>
      <c r="S67" s="3" t="n">
        <v>0.9999998807907104</v>
      </c>
      <c r="T67" s="3" t="n">
        <v>9.931193289958173e-08</v>
      </c>
      <c r="U67" t="n">
        <v>646.5</v>
      </c>
    </row>
    <row r="68">
      <c r="A68" t="inlineStr">
        <is>
          <t>96.2_28-08-2026_09-13-27.webp</t>
        </is>
      </c>
      <c r="B68" t="inlineStr">
        <is>
          <t>нет в каталоге</t>
        </is>
      </c>
      <c r="F68" t="inlineStr">
        <is>
          <t>usadba-divnomorskoe-yuzhnyy-les-merlo-krasnoe-suhoe-137</t>
        </is>
      </c>
      <c r="G68" t="inlineStr">
        <is>
          <t>usadba-divnomorskoe-holodnyy-tuman-risling-beloe-suhoe-115</t>
        </is>
      </c>
      <c r="H68" t="inlineStr">
        <is>
          <t>usadba-divnomorskoe-solist-marselan-rozovoe-suhoe-115</t>
        </is>
      </c>
      <c r="I68" t="inlineStr">
        <is>
          <t>usadba-divnomorskoe-solnechnyy-veter-shardone-beloe-suhoe-125</t>
        </is>
      </c>
      <c r="J68" t="inlineStr">
        <is>
          <t>vinodelnya-vedernikov-vedernikov-tsimlyanskiy-chyornyy-tsimlyanskiy-chernyy-krasnoe-suhoe-14</t>
        </is>
      </c>
      <c r="K68">
        <f>IF(C68="","",IFERROR(MATCH(C68,F68:J68,0),"нет"))</f>
        <v/>
      </c>
      <c r="L68">
        <f>IF(C68="","",IF(K68=1,1,0))</f>
        <v/>
      </c>
      <c r="M68">
        <f>IF(C68="","",IF(ISNUMBER(K68),1,0))</f>
        <v/>
      </c>
      <c r="N68" t="inlineStr">
        <is>
          <t>Южный Лес — Усадьба Дивноморское — Красное сухое</t>
        </is>
      </c>
      <c r="O68" t="inlineStr">
        <is>
          <t>Холодный Туман — Усадьба Дивноморское — Белое сухое</t>
        </is>
      </c>
      <c r="P68" t="inlineStr">
        <is>
          <t>Солист — Усадьба Дивноморское — Розовое сухое</t>
        </is>
      </c>
      <c r="Q68" t="inlineStr">
        <is>
          <t>Солнечный Ветер — Усадьба Дивноморское — Белое сухое</t>
        </is>
      </c>
      <c r="R68" t="inlineStr">
        <is>
          <t>Ведерниковъ Цимлянский Чёрный — Ведерниковъ — Красное сухое</t>
        </is>
      </c>
      <c r="S68" s="3" t="n">
        <v>0.999775230884552</v>
      </c>
      <c r="T68" s="3" t="n">
        <v>0.000108884290966671</v>
      </c>
      <c r="U68" t="n">
        <v>1171.4</v>
      </c>
    </row>
    <row r="69">
      <c r="A69" t="inlineStr">
        <is>
          <t>96.2_28-08-2026_19-25-29.webp</t>
        </is>
      </c>
      <c r="B69" t="inlineStr">
        <is>
          <t>нет в каталоге</t>
        </is>
      </c>
      <c r="F69" t="inlineStr">
        <is>
          <t>derbent-vino-graf-vorontsov-bryut-beloe-sovinon-blan-105-125</t>
        </is>
      </c>
      <c r="G69" t="inlineStr">
        <is>
          <t>derbent-vino-graf-vorontsov-beloe-polusladkoe-sovinon-blan-105-125</t>
        </is>
      </c>
      <c r="H69" t="inlineStr">
        <is>
          <t>novyy-svet-dom-shampanskih-vin-rossiyskoe-shampanskoe-kollektsionnoe-bryut-beloe-novyy-svet-yubileynoe-risling-13</t>
        </is>
      </c>
      <c r="I69" t="inlineStr">
        <is>
          <t>novyy-svet-dom-shampanskih-vin-rossiyskoe-shampanskoe-kollektsionnoe-bryut-beloe-novyy-svet-zolotoy-risling-suhoe-13</t>
        </is>
      </c>
      <c r="J69" t="inlineStr">
        <is>
          <t>derbent-vino-graf-vorontsov-bryut-rozovoe-pervenets-magaracha-105-125</t>
        </is>
      </c>
      <c r="K69">
        <f>IF(C69="","",IFERROR(MATCH(C69,F69:J69,0),"нет"))</f>
        <v/>
      </c>
      <c r="L69">
        <f>IF(C69="","",IF(K69=1,1,0))</f>
        <v/>
      </c>
      <c r="M69">
        <f>IF(C69="","",IF(ISNUMBER(K69),1,0))</f>
        <v/>
      </c>
      <c r="N69" t="inlineStr">
        <is>
          <t>Граф Воронцов. Брют белое — Дербент Вино — Белое брют</t>
        </is>
      </c>
      <c r="O69" t="inlineStr">
        <is>
          <t>Граф Воронцов. Белое полусладкое — Дербент Вино — Белое полусладкое</t>
        </is>
      </c>
      <c r="P69" t="inlineStr">
        <is>
          <t>Российское шампанское коллекционное брют белое «Новый Свет. Юбилейное» — Новый Свет. Дом шампанских вин — Белое брют</t>
        </is>
      </c>
      <c r="Q69" t="inlineStr">
        <is>
          <t>Российское шампанское коллекционное брют белое «Новый Свет. Золотой Рислинг» — Новый Свет. Дом шампанских вин — Белое сухое</t>
        </is>
      </c>
      <c r="R69" t="inlineStr">
        <is>
          <t>Граф Воронцов. Брют розовое — Дербент Вино — Розовое брют</t>
        </is>
      </c>
      <c r="S69" s="3" t="n">
        <v>0.2652928531169891</v>
      </c>
      <c r="T69" s="3" t="n">
        <v>0.6364045143127441</v>
      </c>
      <c r="U69" t="n">
        <v>1368.6</v>
      </c>
    </row>
    <row r="70">
      <c r="A70" t="inlineStr">
        <is>
          <t>96.31_09-09-2026_19-29-01.webp</t>
        </is>
      </c>
      <c r="B70" t="inlineStr">
        <is>
          <t>уверенно</t>
        </is>
      </c>
      <c r="C70" t="inlineStr">
        <is>
          <t>aratti-kaberne-po-belomu</t>
        </is>
      </c>
      <c r="D70" t="inlineStr">
        <is>
          <t>АРАТТИ Каберне по-белому — АРАТТИ — Красное сухое</t>
        </is>
      </c>
      <c r="F70" t="inlineStr">
        <is>
          <t>aratti-kaberne-po-belomu-1</t>
        </is>
      </c>
      <c r="G70" t="inlineStr">
        <is>
          <t>aratti-kaberne-po-belomu</t>
        </is>
      </c>
      <c r="H70" t="inlineStr">
        <is>
          <t>aratti-vremena-goda-saperavi-leto</t>
        </is>
      </c>
      <c r="I70" t="inlineStr">
        <is>
          <t>aratti-kaberne-sovinon-2021-krasnoe-suhoe</t>
        </is>
      </c>
      <c r="J70" t="inlineStr">
        <is>
          <t>aratti-kaberne-sovinon-2020-krasnoe-suhoe</t>
        </is>
      </c>
      <c r="K70">
        <f>IF(C70="","",IFERROR(MATCH(C70,F70:J70,0),"нет"))</f>
        <v/>
      </c>
      <c r="L70">
        <f>IF(C70="","",IF(K70=1,1,0))</f>
        <v/>
      </c>
      <c r="M70">
        <f>IF(C70="","",IF(ISNUMBER(K70),1,0))</f>
        <v/>
      </c>
      <c r="N70" t="inlineStr">
        <is>
          <t>АРАТТИ Каберне по-белому — АРАТТИ — Розовое полусухое</t>
        </is>
      </c>
      <c r="O70" t="inlineStr">
        <is>
          <t>АРАТТИ Каберне по-белому — АРАТТИ — Красное сухое</t>
        </is>
      </c>
      <c r="P70" t="inlineStr">
        <is>
          <t>АРАТТИ Времена Года Саперави Лето — АРАТТИ — Красное сухое</t>
        </is>
      </c>
      <c r="Q70" t="inlineStr">
        <is>
          <t>АРАТТИ Каберне Совиньон 2021 красное сухое — АРАТТИ — Красное сухое</t>
        </is>
      </c>
      <c r="R70" t="inlineStr">
        <is>
          <t>АРАТТИ Каберне Совиньон 2020 красное сухое — АРАТТИ — Красное сухое</t>
        </is>
      </c>
      <c r="S70" s="3" t="n">
        <v>0.9999980926513672</v>
      </c>
      <c r="T70" s="3" t="n">
        <v>3.059017217310611e-07</v>
      </c>
      <c r="U70" t="n">
        <v>628.2</v>
      </c>
    </row>
    <row r="71">
      <c r="A71" t="inlineStr">
        <is>
          <t>96.31_21-08-2026_17-24-55.webp</t>
        </is>
      </c>
      <c r="B71" t="inlineStr">
        <is>
          <t>уверенно</t>
        </is>
      </c>
      <c r="C71" t="inlineStr">
        <is>
          <t>bukovinka</t>
        </is>
      </c>
      <c r="D71" t="inlineStr">
        <is>
          <t>Буковинка — Табия — Белое полусухое</t>
        </is>
      </c>
      <c r="F71" t="inlineStr">
        <is>
          <t>bukovinka</t>
        </is>
      </c>
      <c r="G71" t="inlineStr">
        <is>
          <t>rubin-golodrigi</t>
        </is>
      </c>
      <c r="H71" t="inlineStr">
        <is>
          <t>oleg</t>
        </is>
      </c>
      <c r="I71" t="inlineStr">
        <is>
          <t>kaberne-sovinon-2</t>
        </is>
      </c>
      <c r="J71" t="inlineStr">
        <is>
          <t>rozovoe-zoloto</t>
        </is>
      </c>
      <c r="K71">
        <f>IF(C71="","",IFERROR(MATCH(C71,F71:J71,0),"нет"))</f>
        <v/>
      </c>
      <c r="L71">
        <f>IF(C71="","",IF(K71=1,1,0))</f>
        <v/>
      </c>
      <c r="M71">
        <f>IF(C71="","",IF(ISNUMBER(K71),1,0))</f>
        <v/>
      </c>
      <c r="N71" t="inlineStr">
        <is>
          <t>Буковинка — Табия — Белое полусухое</t>
        </is>
      </c>
      <c r="O71" t="inlineStr">
        <is>
          <t>Рубин Голодриги  — Табия — Красное сухое</t>
        </is>
      </c>
      <c r="P71" t="inlineStr">
        <is>
          <t>Олег — Табия — Белое сухое</t>
        </is>
      </c>
      <c r="Q71" t="inlineStr">
        <is>
          <t>Каберне Совиньон — Табия — Красное сухое</t>
        </is>
      </c>
      <c r="R71" t="inlineStr">
        <is>
          <t>Розовое золото — Табия — Розовое полусухое</t>
        </is>
      </c>
      <c r="S71" s="3" t="n">
        <v>0.9999997615814209</v>
      </c>
      <c r="T71" s="3" t="n">
        <v>1.444980028963982e-07</v>
      </c>
      <c r="U71" t="n">
        <v>564.9</v>
      </c>
    </row>
    <row r="72">
      <c r="A72" t="inlineStr">
        <is>
          <t>96.3_08-09-2026_10-53-14.webp</t>
        </is>
      </c>
      <c r="B72" t="inlineStr">
        <is>
          <t>нет в каталоге</t>
        </is>
      </c>
      <c r="F72" t="inlineStr">
        <is>
          <t>fanagoriya-zelyonoe-vino-risling-tsitronnyy-magaracha-beloe-polusuhoe-11</t>
        </is>
      </c>
      <c r="G72" t="inlineStr">
        <is>
          <t>fanagoriya-beloe-polusladkoe</t>
        </is>
      </c>
      <c r="H72" t="inlineStr">
        <is>
          <t>fanagoriya-zelyonoe-vino-risling-tsitronnyy-magaracha-merlo-rozovoe-polusuhoe-11</t>
        </is>
      </c>
      <c r="I72" t="inlineStr">
        <is>
          <t>rozovoe-polusladkoe</t>
        </is>
      </c>
      <c r="J72" t="inlineStr">
        <is>
          <t>fanagoriya-ona-skazala-da-beloe-polusladkoe</t>
        </is>
      </c>
      <c r="K72">
        <f>IF(C72="","",IFERROR(MATCH(C72,F72:J72,0),"нет"))</f>
        <v/>
      </c>
      <c r="L72">
        <f>IF(C72="","",IF(K72=1,1,0))</f>
        <v/>
      </c>
      <c r="M72">
        <f>IF(C72="","",IF(ISNUMBER(K72),1,0))</f>
        <v/>
      </c>
      <c r="N72" t="inlineStr">
        <is>
          <t>Зелёное вино. Рислинг - Цитронный Магарача — Фанагория — Белое полусухое</t>
        </is>
      </c>
      <c r="O72" t="inlineStr">
        <is>
          <t>Фанагория белое полусладкое — Фанагория — Белое полусладкое</t>
        </is>
      </c>
      <c r="P72" t="inlineStr">
        <is>
          <t>Зелёное вино. Рислинг - Цитронный Магарача - Мерло — Фанагория — Розовое полусухое</t>
        </is>
      </c>
      <c r="Q72" t="inlineStr">
        <is>
          <t>Розовое полусладкое — Фанагория — Розовое полусладкое</t>
        </is>
      </c>
      <c r="R72" t="inlineStr">
        <is>
          <t>Фанагория Она сказала Да! белое полусладкое — Фанагория — Белое полусладкое</t>
        </is>
      </c>
      <c r="S72" s="3" t="n">
        <v>0.9723199605941772</v>
      </c>
      <c r="T72" s="3" t="n">
        <v>7.277993427123874e-05</v>
      </c>
      <c r="U72" t="n">
        <v>799.6</v>
      </c>
    </row>
    <row r="73">
      <c r="A73" t="inlineStr">
        <is>
          <t>96.3_28-08-2026_09-12-56.webp</t>
        </is>
      </c>
      <c r="B73" t="inlineStr">
        <is>
          <t>нет в каталоге</t>
        </is>
      </c>
      <c r="F73" t="inlineStr">
        <is>
          <t>usadba-divnomorskoe-yuzhnyy-les-merlo-krasnoe-suhoe-137</t>
        </is>
      </c>
      <c r="G73" t="inlineStr">
        <is>
          <t>usadba-divnomorskoe-solist-marselan-rozovoe-suhoe-115</t>
        </is>
      </c>
      <c r="H73" t="inlineStr">
        <is>
          <t>usadba-divnomorskoe-holodnyy-tuman-risling-beloe-suhoe-115</t>
        </is>
      </c>
      <c r="I73" t="inlineStr">
        <is>
          <t>usadba-divnomorskoe-solnechnyy-veter-shardone-beloe-suhoe-125</t>
        </is>
      </c>
      <c r="J73" t="inlineStr">
        <is>
          <t>vinodelnya-vedernikov-vedernikov-krasnostop-zolotovskiy-magnum-krasnoe-suhoe-145</t>
        </is>
      </c>
      <c r="K73">
        <f>IF(C73="","",IFERROR(MATCH(C73,F73:J73,0),"нет"))</f>
        <v/>
      </c>
      <c r="L73">
        <f>IF(C73="","",IF(K73=1,1,0))</f>
        <v/>
      </c>
      <c r="M73">
        <f>IF(C73="","",IF(ISNUMBER(K73),1,0))</f>
        <v/>
      </c>
      <c r="N73" t="inlineStr">
        <is>
          <t>Южный Лес — Усадьба Дивноморское — Красное сухое</t>
        </is>
      </c>
      <c r="O73" t="inlineStr">
        <is>
          <t>Солист — Усадьба Дивноморское — Розовое сухое</t>
        </is>
      </c>
      <c r="P73" t="inlineStr">
        <is>
          <t>Холодный Туман — Усадьба Дивноморское — Белое сухое</t>
        </is>
      </c>
      <c r="Q73" t="inlineStr">
        <is>
          <t>Солнечный Ветер — Усадьба Дивноморское — Белое сухое</t>
        </is>
      </c>
      <c r="R73" t="inlineStr">
        <is>
          <t>Ведерниковъ Красностоп Золотовский (магнум) — Ведерниковъ — Красное сухое</t>
        </is>
      </c>
      <c r="S73" s="3" t="n">
        <v>0.9999290704727173</v>
      </c>
      <c r="T73" s="3" t="n">
        <v>5.14412131451536e-05</v>
      </c>
      <c r="U73" t="n">
        <v>1108.1</v>
      </c>
    </row>
    <row r="74">
      <c r="A74" t="inlineStr">
        <is>
          <t>96.42_22-08-2026_21-29-43.webp</t>
        </is>
      </c>
      <c r="B74" t="inlineStr">
        <is>
          <t>нет в каталоге</t>
        </is>
      </c>
      <c r="F74" t="inlineStr">
        <is>
          <t>aristov-anima-pinot-grigio-blush</t>
        </is>
      </c>
      <c r="G74" t="inlineStr">
        <is>
          <t>abrau-dyurso-udelnoe-vedomstvo-imperatorskoe-beloe-bryut</t>
        </is>
      </c>
      <c r="H74" t="inlineStr">
        <is>
          <t>aristov-anima-millesimato-beloe-bryut</t>
        </is>
      </c>
      <c r="I74" t="inlineStr">
        <is>
          <t>abrau-dyurso-imperatorskoe-bryut-shardone-beloe-12</t>
        </is>
      </c>
      <c r="J74" t="inlineStr">
        <is>
          <t>abrau-dyurso-imperial-brut-vintage-shardone-beloe-bryut-12</t>
        </is>
      </c>
      <c r="K74">
        <f>IF(C74="","",IFERROR(MATCH(C74,F74:J74,0),"нет"))</f>
        <v/>
      </c>
      <c r="L74">
        <f>IF(C74="","",IF(K74=1,1,0))</f>
        <v/>
      </c>
      <c r="M74">
        <f>IF(C74="","",IF(ISNUMBER(K74),1,0))</f>
        <v/>
      </c>
      <c r="N74" t="inlineStr">
        <is>
          <t>Аристов Anima Pinot Grigio Blush — Кубань-Вино — Розовое брют</t>
        </is>
      </c>
      <c r="O74" t="inlineStr">
        <is>
          <t>Абрау Дюрсо Удельное Ведомство Императорское белое брют — Абрау-Дюрсо — Белое брют</t>
        </is>
      </c>
      <c r="P74" t="inlineStr">
        <is>
          <t>Аристов ANIMA Millesimato белое брют — Кубань-Вино — Белое брют</t>
        </is>
      </c>
      <c r="Q74" t="inlineStr">
        <is>
          <t>Императорское брют — Абрау-Дюрсо — Белое брют</t>
        </is>
      </c>
      <c r="R74" t="inlineStr">
        <is>
          <t>Империал. Brut Vintage — Абрау-Дюрсо — Белое брют</t>
        </is>
      </c>
      <c r="S74" s="3" t="n">
        <v>0.1132994666695595</v>
      </c>
      <c r="T74" s="3" t="n">
        <v>0.7388052940368652</v>
      </c>
      <c r="U74" t="n">
        <v>736.1</v>
      </c>
    </row>
    <row r="75">
      <c r="A75" t="inlineStr">
        <is>
          <t>96.44_05-09-2026_15-33-59.webp</t>
        </is>
      </c>
      <c r="B75" t="inlineStr">
        <is>
          <t>уверенно</t>
        </is>
      </c>
      <c r="C75" t="inlineStr">
        <is>
          <t>sovinon-blan</t>
        </is>
      </c>
      <c r="D75" t="inlineStr">
        <is>
          <t>Совиньон Блан — Литавщук. Litavshchuk vineyards &amp; winery — Белое полусладкое</t>
        </is>
      </c>
      <c r="F75" t="inlineStr">
        <is>
          <t>sovinon-blan</t>
        </is>
      </c>
      <c r="G75" t="inlineStr">
        <is>
          <t>risling-2</t>
        </is>
      </c>
      <c r="H75" t="inlineStr">
        <is>
          <t>blagolyubov-sovinon-blan-beloe-suhoe-125</t>
        </is>
      </c>
      <c r="I75" t="inlineStr">
        <is>
          <t>dubinin-winery-sovinon-blan-beloe-suhoe-12</t>
        </is>
      </c>
      <c r="J75" t="inlineStr">
        <is>
          <t>domashnyaya-gorka</t>
        </is>
      </c>
      <c r="K75">
        <f>IF(C75="","",IFERROR(MATCH(C75,F75:J75,0),"нет"))</f>
        <v/>
      </c>
      <c r="L75">
        <f>IF(C75="","",IF(K75=1,1,0))</f>
        <v/>
      </c>
      <c r="M75">
        <f>IF(C75="","",IF(ISNUMBER(K75),1,0))</f>
        <v/>
      </c>
      <c r="N75" t="inlineStr">
        <is>
          <t>Совиньон Блан — Литавщук. Litavshchuk vineyards &amp; winery — Белое полусладкое</t>
        </is>
      </c>
      <c r="O75" t="inlineStr">
        <is>
          <t>Рислинг  — Литавщук. Litavshchuk vineyards &amp; winery — Белое полусухое</t>
        </is>
      </c>
      <c r="P75" t="inlineStr">
        <is>
          <t>Совиньон Блан — Благолюбов — Белое сухое</t>
        </is>
      </c>
      <c r="Q75" t="inlineStr">
        <is>
          <t>Совиньон Блан — Dubinin Winery — Белое сухое</t>
        </is>
      </c>
      <c r="R75" t="inlineStr">
        <is>
          <t>Домашняя горка  — Литавщук. Litavshchuk vineyards &amp; winery — Белое полусладкое</t>
        </is>
      </c>
      <c r="S75" s="3" t="n">
        <v>0.9999997615814209</v>
      </c>
      <c r="T75" s="3" t="n">
        <v>6.825602127946695e-08</v>
      </c>
      <c r="U75" t="n">
        <v>1231.4</v>
      </c>
    </row>
    <row r="76">
      <c r="A76" t="inlineStr">
        <is>
          <t>96.45_02-09-2026_14-19-06.webp</t>
        </is>
      </c>
      <c r="B76" t="inlineStr">
        <is>
          <t>нет в каталоге</t>
        </is>
      </c>
      <c r="F76" t="inlineStr">
        <is>
          <t>abrau-dyurso-russkoe-igristoe-koshernoe-polusladkoe-shardone-beloe-12</t>
        </is>
      </c>
      <c r="G76" t="inlineStr">
        <is>
          <t>abrau-dyurso-russkoe-igristoe-polusladkoe-shardone-beloe-12</t>
        </is>
      </c>
      <c r="H76" t="inlineStr">
        <is>
          <t>abrau-dyurso-russkoe-igristoe-polusuhoe-shardone-beloe-12</t>
        </is>
      </c>
      <c r="I76" t="inlineStr">
        <is>
          <t>abrau-dyurso-russkoe-igristoe-polusladkoe-krasnoe-kaberne-sovinon-12</t>
        </is>
      </c>
      <c r="J76" t="inlineStr">
        <is>
          <t>abrau-dyurso-imperial-brut-rose-pino-nuar-rozovoe-bryut-12</t>
        </is>
      </c>
      <c r="K76">
        <f>IF(C76="","",IFERROR(MATCH(C76,F76:J76,0),"нет"))</f>
        <v/>
      </c>
      <c r="L76">
        <f>IF(C76="","",IF(K76=1,1,0))</f>
        <v/>
      </c>
      <c r="M76">
        <f>IF(C76="","",IF(ISNUMBER(K76),1,0))</f>
        <v/>
      </c>
      <c r="N76" t="inlineStr">
        <is>
          <t>Русское Игристое кошерное полусладкое — Абрау-Дюрсо — Белое полусладкое</t>
        </is>
      </c>
      <c r="O76" t="inlineStr">
        <is>
          <t>Русское Игристое полусладкое — Абрау-Дюрсо — Белое полусладкое</t>
        </is>
      </c>
      <c r="P76" t="inlineStr">
        <is>
          <t>Русское Игристое полусухое — Абрау-Дюрсо — Белое полусухое</t>
        </is>
      </c>
      <c r="Q76" t="inlineStr">
        <is>
          <t>Русское Игристое полусладкое красное — Абрау-Дюрсо — Красное полусладкое</t>
        </is>
      </c>
      <c r="R76" t="inlineStr">
        <is>
          <t>Империал Brut Rose — Абрау-Дюрсо — Розовое брют</t>
        </is>
      </c>
      <c r="S76" s="3" t="n">
        <v>0.9999380111694336</v>
      </c>
      <c r="T76" s="3" t="n">
        <v>2.382221993002531e-07</v>
      </c>
      <c r="U76" t="n">
        <v>1135.2</v>
      </c>
    </row>
    <row r="77">
      <c r="A77" t="inlineStr">
        <is>
          <t>96.45_19-08-2026_19-35-28.webp</t>
        </is>
      </c>
      <c r="B77" t="inlineStr">
        <is>
          <t>не уверен</t>
        </is>
      </c>
      <c r="C77" t="inlineStr">
        <is>
          <t>czitronnyj-magaracha</t>
        </is>
      </c>
      <c r="D77" t="inlineStr">
        <is>
          <t>Цитрон — Табия — Белое сухое</t>
        </is>
      </c>
      <c r="E77" t="inlineStr">
        <is>
          <t>в slug сухое, а нужно полусухое, но полусухого нет</t>
        </is>
      </c>
      <c r="F77" t="inlineStr">
        <is>
          <t>czitronnyj-magaracha</t>
        </is>
      </c>
      <c r="G77" t="inlineStr">
        <is>
          <t>oleg</t>
        </is>
      </c>
      <c r="H77" t="inlineStr">
        <is>
          <t>risling-1</t>
        </is>
      </c>
      <c r="I77" t="inlineStr">
        <is>
          <t>rubin-golodrigi</t>
        </is>
      </c>
      <c r="J77" t="inlineStr">
        <is>
          <t>bukovinka</t>
        </is>
      </c>
      <c r="K77">
        <f>IF(C77="","",IFERROR(MATCH(C77,F77:J77,0),"нет"))</f>
        <v/>
      </c>
      <c r="L77">
        <f>IF(C77="","",IF(K77=1,1,0))</f>
        <v/>
      </c>
      <c r="M77">
        <f>IF(C77="","",IF(ISNUMBER(K77),1,0))</f>
        <v/>
      </c>
      <c r="N77" t="inlineStr">
        <is>
          <t>Цитрон — Табия — Белое сухое</t>
        </is>
      </c>
      <c r="O77" t="inlineStr">
        <is>
          <t>Олег — Табия — Белое сухое</t>
        </is>
      </c>
      <c r="P77" t="inlineStr">
        <is>
          <t>Рислинг — Табия — Белое полусухое</t>
        </is>
      </c>
      <c r="Q77" t="inlineStr">
        <is>
          <t>Рубин Голодриги  — Табия — Красное сухое</t>
        </is>
      </c>
      <c r="R77" t="inlineStr">
        <is>
          <t>Буковинка — Табия — Белое полусухое</t>
        </is>
      </c>
      <c r="S77" s="3" t="n">
        <v>0.9999998807907104</v>
      </c>
      <c r="T77" s="3" t="n">
        <v>6.825602838489431e-08</v>
      </c>
      <c r="U77" t="n">
        <v>491.6</v>
      </c>
    </row>
    <row r="78">
      <c r="A78" t="inlineStr">
        <is>
          <t>96.53_03-09-2026_16-39-17.webp</t>
        </is>
      </c>
      <c r="B78" t="inlineStr">
        <is>
          <t>нет в каталоге</t>
        </is>
      </c>
      <c r="F78" t="inlineStr">
        <is>
          <t>fanagoriya-beloe-polusladkoe</t>
        </is>
      </c>
      <c r="G78" t="inlineStr">
        <is>
          <t>rozovoe-polusladkoe</t>
        </is>
      </c>
      <c r="H78" t="inlineStr">
        <is>
          <t>fanagoriya-fanagoria-extra-brut-rose-2019-pino-nuar-igristoe-bryut-rozovoe-ekstra-bryut-12</t>
        </is>
      </c>
      <c r="I78" t="inlineStr">
        <is>
          <t>fanagoriya-fanagoriya-blanc-de-blancs-beloe-iz-belogo-shardone-igristoe-bryut-beloe-11-13</t>
        </is>
      </c>
      <c r="J78" t="inlineStr">
        <is>
          <t>fanagoriya-zelyonoe-vino-risling-tsitronnyy-magaracha-merlo-rozovoe-polusuhoe-11</t>
        </is>
      </c>
      <c r="K78">
        <f>IF(C78="","",IFERROR(MATCH(C78,F78:J78,0),"нет"))</f>
        <v/>
      </c>
      <c r="L78">
        <f>IF(C78="","",IF(K78=1,1,0))</f>
        <v/>
      </c>
      <c r="M78">
        <f>IF(C78="","",IF(ISNUMBER(K78),1,0))</f>
        <v/>
      </c>
      <c r="N78" t="inlineStr">
        <is>
          <t>Фанагория белое полусладкое — Фанагория — Белое полусладкое</t>
        </is>
      </c>
      <c r="O78" t="inlineStr">
        <is>
          <t>Розовое полусладкое — Фанагория — Розовое полусладкое</t>
        </is>
      </c>
      <c r="P78" t="inlineStr">
        <is>
          <t>Fanagoria Extra Brut Rose 2019 — Фанагория — Розовое экстра брют</t>
        </is>
      </c>
      <c r="Q78" t="inlineStr">
        <is>
          <t>Фанагория. Blanc de Blancs. Белое из белого — Фанагория — Белое брют</t>
        </is>
      </c>
      <c r="R78" t="inlineStr">
        <is>
          <t>Зелёное вино. Рислинг - Цитронный Магарача - Мерло — Фанагория — Розовое полусухое</t>
        </is>
      </c>
      <c r="S78" s="3" t="n">
        <v>0.4068005979061127</v>
      </c>
      <c r="T78" s="3" t="n">
        <v>0.06238489225506783</v>
      </c>
      <c r="U78" t="n">
        <v>928.2</v>
      </c>
    </row>
    <row r="79">
      <c r="A79" t="inlineStr">
        <is>
          <t>96.54_04-09-2026_19-30-52.webp</t>
        </is>
      </c>
      <c r="B79" t="inlineStr">
        <is>
          <t>уверенно</t>
        </is>
      </c>
      <c r="C79" t="inlineStr">
        <is>
          <t>denisov-winery-risling-beloe-suhoe-115</t>
        </is>
      </c>
      <c r="D79" t="inlineStr">
        <is>
          <t>Рислинг — Denisov Winery — Белое сухое</t>
        </is>
      </c>
      <c r="F79" t="inlineStr">
        <is>
          <t>denisov-winery-risling-beloe-suhoe-115</t>
        </is>
      </c>
      <c r="G79" t="inlineStr">
        <is>
          <t>dubinin-winery-risling-beloe-suhoe-12</t>
        </is>
      </c>
      <c r="H79" t="inlineStr">
        <is>
          <t>znoj-denisov-vajneri</t>
        </is>
      </c>
      <c r="I79" t="inlineStr">
        <is>
          <t>vinodelnya-78-aligote-otbornoe-beloe-suhoe-12</t>
        </is>
      </c>
      <c r="J79" t="inlineStr">
        <is>
          <t>risling-2</t>
        </is>
      </c>
      <c r="K79">
        <f>IF(C79="","",IFERROR(MATCH(C79,F79:J79,0),"нет"))</f>
        <v/>
      </c>
      <c r="L79">
        <f>IF(C79="","",IF(K79=1,1,0))</f>
        <v/>
      </c>
      <c r="M79">
        <f>IF(C79="","",IF(ISNUMBER(K79),1,0))</f>
        <v/>
      </c>
      <c r="N79" t="inlineStr">
        <is>
          <t>Рислинг — Denisov Winery — Белое сухое</t>
        </is>
      </c>
      <c r="O79" t="inlineStr">
        <is>
          <t>Рислинг — Dubinin Winery — Белое сухое</t>
        </is>
      </c>
      <c r="P79" t="inlineStr">
        <is>
          <t>Зной. Денисов Вайнери — Denisov Winery — Белое сухое</t>
        </is>
      </c>
      <c r="Q79" t="inlineStr">
        <is>
          <t>Алиготе Отборное — Винодельня 78 — Белое сухое</t>
        </is>
      </c>
      <c r="R79" t="inlineStr">
        <is>
          <t>Рислинг  — Литавщук. Litavshchuk vineyards &amp; winery — Белое полусухое</t>
        </is>
      </c>
      <c r="S79" s="3" t="n">
        <v>0.9999998807907104</v>
      </c>
      <c r="T79" s="3" t="n">
        <v>6.825602838489431e-08</v>
      </c>
      <c r="U79" t="n">
        <v>906.5</v>
      </c>
    </row>
    <row r="80">
      <c r="A80" t="inlineStr">
        <is>
          <t>96.55_30-08-2026_19-34-31.webp</t>
        </is>
      </c>
      <c r="B80" t="inlineStr">
        <is>
          <t>уверенно</t>
        </is>
      </c>
      <c r="C80" t="inlineStr">
        <is>
          <t>novyy-svet-dom-shampanskih-vin-novyy-svet-polusladkoe-roze-shardone-rozovoe-115</t>
        </is>
      </c>
      <c r="D80" t="inlineStr">
        <is>
          <t>Новый Свет полусладкое розе — Новый Свет. Дом шампанских вин — Розовое полусладкое</t>
        </is>
      </c>
      <c r="F80" t="inlineStr">
        <is>
          <t>novyy-svet-dom-shampanskih-vin-rossiyskoe-shampanskoe-vyderzhannoe-polusladkoe-rozovoe-novyy-svet-shardone-125</t>
        </is>
      </c>
      <c r="G80" t="inlineStr">
        <is>
          <t>novyy-svet-dom-shampanskih-vin-novyy-svet-polusladkoe-roze-shardone-rozovoe-115</t>
        </is>
      </c>
      <c r="H80" t="inlineStr">
        <is>
          <t>novyj-svet-polusladkoe</t>
        </is>
      </c>
      <c r="I80" t="inlineStr">
        <is>
          <t>novyj-svet-vyderzhannoe-bryut</t>
        </is>
      </c>
      <c r="J80" t="inlineStr">
        <is>
          <t>novyy-svet-dom-shampanskih-vin-igristoe-vino-vyderzhannoe-polusladkoe-krasnoe-novyy-svet-kaberne-sovinon-12</t>
        </is>
      </c>
      <c r="K80">
        <f>IF(C80="","",IFERROR(MATCH(C80,F80:J80,0),"нет"))</f>
        <v/>
      </c>
      <c r="L80">
        <f>IF(C80="","",IF(K80=1,1,0))</f>
        <v/>
      </c>
      <c r="M80">
        <f>IF(C80="","",IF(ISNUMBER(K80),1,0))</f>
        <v/>
      </c>
      <c r="N80" t="inlineStr">
        <is>
          <t>Российское шампанское выдержанное полусладкое розовое «Новый Свет» — Новый Свет. Дом шампанских вин — Розовое полусладкое</t>
        </is>
      </c>
      <c r="O80" t="inlineStr">
        <is>
          <t>Новый Свет полусладкое розе — Новый Свет. Дом шампанских вин — Розовое полусладкое</t>
        </is>
      </c>
      <c r="P80" t="inlineStr">
        <is>
          <t>Новый Свет полусладкое — Новый Свет. Дом шампанских вин — Белое полусладкое</t>
        </is>
      </c>
      <c r="Q80" t="inlineStr">
        <is>
          <t>Новый Свет выдержанное брют — Новый Свет. Дом шампанских вин — Белое брют</t>
        </is>
      </c>
      <c r="R80" t="inlineStr">
        <is>
          <t>Игристое вино выдержанное полусладкое красное «Новый Свет. Каберне Совиньон» — Новый Свет. Дом шампанских вин — Красное полусладкое</t>
        </is>
      </c>
      <c r="S80" s="3" t="n">
        <v>0.9046361446380615</v>
      </c>
      <c r="T80" s="3" t="n">
        <v>1.405352577421581e-06</v>
      </c>
      <c r="U80" t="n">
        <v>851.1</v>
      </c>
    </row>
    <row r="81">
      <c r="A81" t="inlineStr">
        <is>
          <t>96.58_05-09-2026_16-05-04.webp</t>
        </is>
      </c>
      <c r="B81" t="inlineStr">
        <is>
          <t>уверенно</t>
        </is>
      </c>
      <c r="C81" t="inlineStr">
        <is>
          <t>fanagoriya-zelyonoe-vino-risling-tsitronnyy-magaracha-beloe-polusuhoe-11</t>
        </is>
      </c>
      <c r="D81" t="inlineStr">
        <is>
          <t>Зелёное вино. Рислинг - Цитронный Магарача — Фанагория — Белое полусухое</t>
        </is>
      </c>
      <c r="F81" t="inlineStr">
        <is>
          <t>fanagoriya-zelyonoe-vino-risling-tsitronnyy-magaracha-beloe-polusuhoe-11</t>
        </is>
      </c>
      <c r="G81" t="inlineStr">
        <is>
          <t>fanagoriya-zelyonoe-vino-risling-tsitronnyy-magaracha-merlo-rozovoe-polusuhoe-11</t>
        </is>
      </c>
      <c r="H81" t="inlineStr">
        <is>
          <t>vinodelnya-vedernikov-vedernikov-dolina-dona-beloe-suhoe-aligote-12</t>
        </is>
      </c>
      <c r="I81" t="inlineStr">
        <is>
          <t>eleonora</t>
        </is>
      </c>
      <c r="J81" t="inlineStr">
        <is>
          <t>levokumskoe-beloe-rkatsiteli-suhoe-10</t>
        </is>
      </c>
      <c r="K81">
        <f>IF(C81="","",IFERROR(MATCH(C81,F81:J81,0),"нет"))</f>
        <v/>
      </c>
      <c r="L81">
        <f>IF(C81="","",IF(K81=1,1,0))</f>
        <v/>
      </c>
      <c r="M81">
        <f>IF(C81="","",IF(ISNUMBER(K81),1,0))</f>
        <v/>
      </c>
      <c r="N81" t="inlineStr">
        <is>
          <t>Зелёное вино. Рислинг - Цитронный Магарача — Фанагория — Белое полусухое</t>
        </is>
      </c>
      <c r="O81" t="inlineStr">
        <is>
          <t>Зелёное вино. Рислинг - Цитронный Магарача - Мерло — Фанагория — Розовое полусухое</t>
        </is>
      </c>
      <c r="P81" t="inlineStr">
        <is>
          <t>Ведерниковъ Долина Дона Белое Сухое — Ведерниковъ — Белое сухое</t>
        </is>
      </c>
      <c r="Q81" t="inlineStr">
        <is>
          <t>Eleonora, 2021 — WINEMAFIA — Белое сухое</t>
        </is>
      </c>
      <c r="R81" t="inlineStr">
        <is>
          <t>Белое — Левокумское — Белое сухое</t>
        </is>
      </c>
      <c r="S81" s="3" t="n">
        <v>0.9999998807907104</v>
      </c>
      <c r="T81" s="3" t="n">
        <v>1.125351616337866e-07</v>
      </c>
      <c r="U81" t="n">
        <v>807.2</v>
      </c>
    </row>
    <row r="82">
      <c r="A82" t="inlineStr">
        <is>
          <t>96.61_28-08-2026_09-16-27.webp</t>
        </is>
      </c>
      <c r="B82" t="inlineStr">
        <is>
          <t>нет в каталоге</t>
        </is>
      </c>
      <c r="F82" t="inlineStr">
        <is>
          <t>balaklava-muskat-beloe-polusladkoe</t>
        </is>
      </c>
      <c r="G82" t="inlineStr">
        <is>
          <t>balaklava-bryut-rezerv</t>
        </is>
      </c>
      <c r="H82" t="inlineStr">
        <is>
          <t>balaklava-muskat</t>
        </is>
      </c>
      <c r="I82" t="inlineStr">
        <is>
          <t>balaklava-pino-nuar</t>
        </is>
      </c>
      <c r="J82" t="inlineStr">
        <is>
          <t>shardone-balaklava</t>
        </is>
      </c>
      <c r="K82">
        <f>IF(C82="","",IFERROR(MATCH(C82,F82:J82,0),"нет"))</f>
        <v/>
      </c>
      <c r="L82">
        <f>IF(C82="","",IF(K82=1,1,0))</f>
        <v/>
      </c>
      <c r="M82">
        <f>IF(C82="","",IF(ISNUMBER(K82),1,0))</f>
        <v/>
      </c>
      <c r="N82" t="inlineStr">
        <is>
          <t>Балаклава Мускат белое полусладкое — Золотая Балка — Белое полусладкое</t>
        </is>
      </c>
      <c r="O82" t="inlineStr">
        <is>
          <t>Балаклава Брют Резерв — Золотая Балка — Белое брют</t>
        </is>
      </c>
      <c r="P82" t="inlineStr">
        <is>
          <t>Балаклава Мускат — Золотая Балка — Белое брют</t>
        </is>
      </c>
      <c r="Q82" t="inlineStr">
        <is>
          <t>Балаклава Пино Нуар — Золотая Балка — Розовое брют</t>
        </is>
      </c>
      <c r="R82" t="inlineStr">
        <is>
          <t>Шардоне Балаклава  — Золотая Балка — Белое брют</t>
        </is>
      </c>
      <c r="S82" s="3" t="n">
        <v>0.9999996423721313</v>
      </c>
      <c r="T82" s="3" t="n">
        <v>1.444979744746888e-07</v>
      </c>
      <c r="U82" t="n">
        <v>1891.3</v>
      </c>
    </row>
    <row r="83">
      <c r="A83" t="inlineStr">
        <is>
          <t>96.62_07-09-2026_18-12-27.webp</t>
        </is>
      </c>
      <c r="B83" t="inlineStr">
        <is>
          <t>уверенно</t>
        </is>
      </c>
      <c r="C83" t="inlineStr">
        <is>
          <t>fanagoriya-zelyonoe-vino-risling-tsitronnyy-magaracha-beloe-polusuhoe-11</t>
        </is>
      </c>
      <c r="D83" t="inlineStr">
        <is>
          <t>Зелёное вино. Рислинг - Цитронный Магарача — Фанагория — Белое полусухое</t>
        </is>
      </c>
      <c r="F83" t="inlineStr">
        <is>
          <t>fanagoriya-zelyonoe-vino-risling-tsitronnyy-magaracha-beloe-polusuhoe-11</t>
        </is>
      </c>
      <c r="G83" t="inlineStr">
        <is>
          <t>fanagoriya-zelyonoe-vino-risling-tsitronnyy-magaracha-merlo-rozovoe-polusuhoe-11</t>
        </is>
      </c>
      <c r="H83" t="inlineStr">
        <is>
          <t>fanagoriya-100-ottenkov-shardone-beloe-suhoe-14</t>
        </is>
      </c>
      <c r="I83" t="inlineStr">
        <is>
          <t>vinodelnya-vedernikov-vedernikov-dolina-dona-beloe-suhoe-aligote-12</t>
        </is>
      </c>
      <c r="J83" t="inlineStr">
        <is>
          <t>levokumskoe-beloe-rkatsiteli-suhoe-10</t>
        </is>
      </c>
      <c r="K83">
        <f>IF(C83="","",IFERROR(MATCH(C83,F83:J83,0),"нет"))</f>
        <v/>
      </c>
      <c r="L83">
        <f>IF(C83="","",IF(K83=1,1,0))</f>
        <v/>
      </c>
      <c r="M83">
        <f>IF(C83="","",IF(ISNUMBER(K83),1,0))</f>
        <v/>
      </c>
      <c r="N83" t="inlineStr">
        <is>
          <t>Зелёное вино. Рислинг - Цитронный Магарача — Фанагория — Белое полусухое</t>
        </is>
      </c>
      <c r="O83" t="inlineStr">
        <is>
          <t>Зелёное вино. Рислинг - Цитронный Магарача - Мерло — Фанагория — Розовое полусухое</t>
        </is>
      </c>
      <c r="P83" t="inlineStr">
        <is>
          <t>100 оттенков. Шардоне — Фанагория — Белое сухое</t>
        </is>
      </c>
      <c r="Q83" t="inlineStr">
        <is>
          <t>Ведерниковъ Долина Дона Белое Сухое — Ведерниковъ — Белое сухое</t>
        </is>
      </c>
      <c r="R83" t="inlineStr">
        <is>
          <t>Белое — Левокумское — Белое сухое</t>
        </is>
      </c>
      <c r="S83" s="3" t="n">
        <v>0.9999997615814209</v>
      </c>
      <c r="T83" s="3" t="n">
        <v>7.734419682492444e-08</v>
      </c>
      <c r="U83" t="n">
        <v>939.8</v>
      </c>
    </row>
    <row r="84">
      <c r="A84" t="inlineStr">
        <is>
          <t>96.64_26-08-2026_16-52-37.webp</t>
        </is>
      </c>
      <c r="B84" t="inlineStr">
        <is>
          <t>нет в каталоге</t>
        </is>
      </c>
      <c r="F84" t="inlineStr">
        <is>
          <t>valeriy-zaharin-bastardo-kefesiya-avtohtonnoe-vino-kryma-bastardo-magarachskiy-krasnoe-suhoe-115</t>
        </is>
      </c>
      <c r="G84" t="inlineStr">
        <is>
          <t>valeriy-zaharin-avtorskoe-vino-ot-valeriya-zaharina-bastardo-bastardo-magarachskiy-krasnoe-suhoe-12</t>
        </is>
      </c>
      <c r="H84" t="inlineStr">
        <is>
          <t>valeriy-zaharin-avtorskoe-vino-ot-valeriya-zaharina-krasnoe-pino-nuar-suhoe-125</t>
        </is>
      </c>
      <c r="I84" t="inlineStr">
        <is>
          <t>valeriy-zaharin-avtorskoe-vino-ot-valeriya-zaharina-aleatiko-rozovoe-suhoe-115</t>
        </is>
      </c>
      <c r="J84" t="inlineStr">
        <is>
          <t>valeriy-zaharin-avtohtonnoe-vino-kryma-avtorskiy-kupazh-bastardo-saperavi-kefesiya-bastardo-magarachskiy-krasnoe-suhoe-12</t>
        </is>
      </c>
      <c r="K84">
        <f>IF(C84="","",IFERROR(MATCH(C84,F84:J84,0),"нет"))</f>
        <v/>
      </c>
      <c r="L84">
        <f>IF(C84="","",IF(K84=1,1,0))</f>
        <v/>
      </c>
      <c r="M84">
        <f>IF(C84="","",IF(ISNUMBER(K84),1,0))</f>
        <v/>
      </c>
      <c r="N84" t="inlineStr">
        <is>
          <t>Бастардо - Кефесия. Автохтонное вино Крыма — Валерий Захарьин — Красное сухое</t>
        </is>
      </c>
      <c r="O84" t="inlineStr">
        <is>
          <t>Авторское вино от Валерия Захарьина. Бастардо — Валерий Захарьин — Красное сухое</t>
        </is>
      </c>
      <c r="P84" t="inlineStr">
        <is>
          <t>Авторское вино от Валерия Захарьина. Красное — Валерий Захарьин — Красное сухое</t>
        </is>
      </c>
      <c r="Q84" t="inlineStr">
        <is>
          <t>Авторское вино от Валерия Захарьина. Алеатико — Валерий Захарьин — Розовое сухое</t>
        </is>
      </c>
      <c r="R84" t="inlineStr">
        <is>
          <t>Автохтонное вино Крыма. Авторский Купаж. Бастардо – Саперави – Кефесия — Валерий Захарьин — Красное сухое</t>
        </is>
      </c>
      <c r="S84" s="3" t="n">
        <v>0.9999995231628418</v>
      </c>
      <c r="T84" s="3" t="n">
        <v>5.31578301377067e-08</v>
      </c>
      <c r="U84" t="n">
        <v>652.2</v>
      </c>
    </row>
    <row r="85">
      <c r="A85" t="inlineStr">
        <is>
          <t>96.65_02-09-2026_12-08-51.webp</t>
        </is>
      </c>
      <c r="B85" t="inlineStr">
        <is>
          <t>уверенно</t>
        </is>
      </c>
      <c r="C85" t="inlineStr">
        <is>
          <t>kaberne-sovinon-3</t>
        </is>
      </c>
      <c r="D85" t="inlineStr">
        <is>
          <t>Каберне Совиньон — Литавщук. Litavshchuk vineyards &amp; winery — Красное полусухое</t>
        </is>
      </c>
      <c r="F85" t="inlineStr">
        <is>
          <t>kaberne-sovinon-3</t>
        </is>
      </c>
      <c r="G85" t="inlineStr">
        <is>
          <t>vinodelnya-begildeeva-kaberne-sovinon-krasnoe-suhoe-14</t>
        </is>
      </c>
      <c r="H85" t="inlineStr">
        <is>
          <t>vinodelnya-begildeeva-kaberne-sovinon-merlo-krasnoe-suhoe-14</t>
        </is>
      </c>
      <c r="I85" t="inlineStr">
        <is>
          <t>kaberne-sovinon-1</t>
        </is>
      </c>
      <c r="J85" t="inlineStr">
        <is>
          <t>kaberne-sovinon-4</t>
        </is>
      </c>
      <c r="K85">
        <f>IF(C85="","",IFERROR(MATCH(C85,F85:J85,0),"нет"))</f>
        <v/>
      </c>
      <c r="L85">
        <f>IF(C85="","",IF(K85=1,1,0))</f>
        <v/>
      </c>
      <c r="M85">
        <f>IF(C85="","",IF(ISNUMBER(K85),1,0))</f>
        <v/>
      </c>
      <c r="N85" t="inlineStr">
        <is>
          <t>Каберне Совиньон — Литавщук. Litavshchuk vineyards &amp; winery — Красное полусухое</t>
        </is>
      </c>
      <c r="O85" t="inlineStr">
        <is>
          <t>Каберне Совиньон — Винодельня Бегильдеева — Красное сухое</t>
        </is>
      </c>
      <c r="P85" t="inlineStr">
        <is>
          <t>Каберне Совиньон – Мерло — Винодельня Бегильдеева — Красное сухое</t>
        </is>
      </c>
      <c r="Q85" t="inlineStr">
        <is>
          <t>Каберне Совиньон — Галицкий и Галицкий — Красное сухое</t>
        </is>
      </c>
      <c r="R85" t="inlineStr">
        <is>
          <t>Каберне Совиньон — Усадьба Перовских — Красное сухое</t>
        </is>
      </c>
      <c r="S85" s="3" t="n">
        <v>0.9999998807907104</v>
      </c>
      <c r="T85" s="3" t="n">
        <v>9.931193289958173e-08</v>
      </c>
      <c r="U85" t="n">
        <v>943.4</v>
      </c>
    </row>
    <row r="86">
      <c r="A86" t="inlineStr">
        <is>
          <t>96.66_22-08-2026_20-44-40.webp</t>
        </is>
      </c>
      <c r="B86" t="inlineStr">
        <is>
          <t>уверенно</t>
        </is>
      </c>
      <c r="C86" t="inlineStr">
        <is>
          <t>perovskih_polusuhoe_krasnoe</t>
        </is>
      </c>
      <c r="D86" t="inlineStr">
        <is>
          <t>Полусухое Красное — Усадьба Перовских — Красное полусухое</t>
        </is>
      </c>
      <c r="F86" t="inlineStr">
        <is>
          <t>perovskih_polusladkoe_krasnoe</t>
        </is>
      </c>
      <c r="G86" t="inlineStr">
        <is>
          <t>perovskih_polusuhoe_krasnoe</t>
        </is>
      </c>
      <c r="H86" t="inlineStr">
        <is>
          <t>perovskih_polusladkoe_beloe</t>
        </is>
      </c>
      <c r="I86" t="inlineStr">
        <is>
          <t>perovskih_polusladkoe_rosovoe</t>
        </is>
      </c>
      <c r="J86" t="inlineStr">
        <is>
          <t>rozovoe-polusuhoe</t>
        </is>
      </c>
      <c r="K86">
        <f>IF(C86="","",IFERROR(MATCH(C86,F86:J86,0),"нет"))</f>
        <v/>
      </c>
      <c r="L86">
        <f>IF(C86="","",IF(K86=1,1,0))</f>
        <v/>
      </c>
      <c r="M86">
        <f>IF(C86="","",IF(ISNUMBER(K86),1,0))</f>
        <v/>
      </c>
      <c r="N86" t="inlineStr">
        <is>
          <t>Полусладкое Красное — Усадьба Перовских — Красное полусладкое</t>
        </is>
      </c>
      <c r="O86" t="inlineStr">
        <is>
          <t>Полусухое Красное — Усадьба Перовских — Красное полусухое</t>
        </is>
      </c>
      <c r="P86" t="inlineStr">
        <is>
          <t>Полусладкое Белое  — Усадьба Перовских — Белое полусладкое</t>
        </is>
      </c>
      <c r="Q86" t="inlineStr">
        <is>
          <t>Полусладкое розовое — Усадьба Перовских — Розовое полусладкое</t>
        </is>
      </c>
      <c r="R86" t="inlineStr">
        <is>
          <t>Розовое полусухое — Усадьба Перовских — Розовое полусухое</t>
        </is>
      </c>
      <c r="S86" s="3" t="n">
        <v>0.9996575117111206</v>
      </c>
      <c r="T86" s="3" t="n">
        <v>4.005157097708434e-05</v>
      </c>
      <c r="U86" t="n">
        <v>657.2</v>
      </c>
    </row>
    <row r="87">
      <c r="A87" t="inlineStr">
        <is>
          <t>96.67_27-08-2026_17-47-05.webp</t>
        </is>
      </c>
      <c r="B87" t="inlineStr">
        <is>
          <t>нет в каталоге</t>
        </is>
      </c>
      <c r="F87" t="inlineStr">
        <is>
          <t>vinodelnya-begildeeva-kaberne-sovinon-krasnoe-suhoe-14</t>
        </is>
      </c>
      <c r="G87" t="inlineStr">
        <is>
          <t>vinodelnya-begildeeva-merlo-krasnoe-suhoe-14</t>
        </is>
      </c>
      <c r="H87" t="inlineStr">
        <is>
          <t>vinodelnya-begildeeva-kaberne-sovinon-merlo-krasnoe-suhoe-14</t>
        </is>
      </c>
      <c r="I87" t="inlineStr">
        <is>
          <t>belbek-beloe-suhoe-kaberne-sovinon-krasnoe-14</t>
        </is>
      </c>
      <c r="J87" t="inlineStr">
        <is>
          <t>soyuz-vino-soyuz-vino-izabella-krasnoe-polusladkoe-11</t>
        </is>
      </c>
      <c r="K87">
        <f>IF(C87="","",IFERROR(MATCH(C87,F87:J87,0),"нет"))</f>
        <v/>
      </c>
      <c r="L87">
        <f>IF(C87="","",IF(K87=1,1,0))</f>
        <v/>
      </c>
      <c r="M87">
        <f>IF(C87="","",IF(ISNUMBER(K87),1,0))</f>
        <v/>
      </c>
      <c r="N87" t="inlineStr">
        <is>
          <t>Каберне Совиньон — Винодельня Бегильдеева — Красное сухое</t>
        </is>
      </c>
      <c r="O87" t="inlineStr">
        <is>
          <t>Мерло — Винодельня Бегильдеева — Красное сухое</t>
        </is>
      </c>
      <c r="P87" t="inlineStr">
        <is>
          <t>Каберне Совиньон – Мерло — Винодельня Бегильдеева — Красное сухое</t>
        </is>
      </c>
      <c r="Q87" t="inlineStr">
        <is>
          <t>Белое сухое — Бельбек — Красное сухое</t>
        </is>
      </c>
      <c r="R87" t="inlineStr">
        <is>
          <t>Союз-Вино Изабелла — Союз-Вино — Красное полусладкое</t>
        </is>
      </c>
      <c r="S87" s="3" t="n">
        <v>0.008511648513376713</v>
      </c>
      <c r="T87" s="3" t="n">
        <v>0.9838128089904785</v>
      </c>
      <c r="U87" t="n">
        <v>563.9</v>
      </c>
    </row>
    <row r="88">
      <c r="A88" t="inlineStr">
        <is>
          <t>96.74_28-08-2026_13-52-26.webp</t>
        </is>
      </c>
      <c r="B88" t="inlineStr">
        <is>
          <t>уверенно</t>
        </is>
      </c>
      <c r="C88" t="inlineStr">
        <is>
          <t>usadba-mezyb-shishka-kupazh-5-kaberne-sovinon-rozovoe-suhoe-133</t>
        </is>
      </c>
      <c r="D88" t="inlineStr">
        <is>
          <t>Шишка. Купаж №5 — Усадьба Мезыбь — Розовое сухое</t>
        </is>
      </c>
      <c r="F88" t="inlineStr">
        <is>
          <t>usadba-mezyb-shishka-kupazh-5-kaberne-sovinon-rozovoe-suhoe-133</t>
        </is>
      </c>
      <c r="G88" t="inlineStr">
        <is>
          <t>usadba-mezyb-shishka-pino-nuar-rozovoe-suhoe-115</t>
        </is>
      </c>
      <c r="H88" t="inlineStr">
        <is>
          <t>usadba-mezyb-shishka-oranzh-shardone-beloe-suhoe-127</t>
        </is>
      </c>
      <c r="I88" t="inlineStr">
        <is>
          <t>usadba-mezyb-shishka-shenen-blan-sovinon-blan-beloe-suhoe-126</t>
        </is>
      </c>
      <c r="J88" t="inlineStr">
        <is>
          <t>usadba-mezyb-shishka-shenen-blan-beloe-suhoe-13</t>
        </is>
      </c>
      <c r="K88">
        <f>IF(C88="","",IFERROR(MATCH(C88,F88:J88,0),"нет"))</f>
        <v/>
      </c>
      <c r="L88">
        <f>IF(C88="","",IF(K88=1,1,0))</f>
        <v/>
      </c>
      <c r="M88">
        <f>IF(C88="","",IF(ISNUMBER(K88),1,0))</f>
        <v/>
      </c>
      <c r="N88" t="inlineStr">
        <is>
          <t>Шишка. Купаж №5 — Усадьба Мезыбь — Розовое сухое</t>
        </is>
      </c>
      <c r="O88" t="inlineStr">
        <is>
          <t>Шишка. Пино Нуар — Усадьба Мезыбь — Розовое сухое</t>
        </is>
      </c>
      <c r="P88" t="inlineStr">
        <is>
          <t>Шишка. Оранж — Усадьба Мезыбь — Белое сухое</t>
        </is>
      </c>
      <c r="Q88" t="inlineStr">
        <is>
          <t>Шишка. Шенен Блан, Совиньон Блан — Усадьба Мезыбь — Белое сухое</t>
        </is>
      </c>
      <c r="R88" t="inlineStr">
        <is>
          <t>Шишка. Шенен Блан — Усадьба Мезыбь — Белое сухое</t>
        </is>
      </c>
      <c r="S88" s="3" t="n">
        <v>0.9999961853027344</v>
      </c>
      <c r="T88" s="3" t="n">
        <v>9.93115705227865e-08</v>
      </c>
      <c r="U88" t="n">
        <v>1673.2</v>
      </c>
    </row>
    <row r="89">
      <c r="A89" t="inlineStr">
        <is>
          <t>96.76_07-09-2026_14-57-04.webp</t>
        </is>
      </c>
      <c r="B89" t="inlineStr">
        <is>
          <t>уверенно</t>
        </is>
      </c>
      <c r="C89" t="inlineStr">
        <is>
          <t>pozdnij-sbor-krasnoe</t>
        </is>
      </c>
      <c r="D89" t="inlineStr">
        <is>
          <t>Поздний сбор, Красное — Литавщук. Litavshchuk vineyards &amp; winery — Красное сладкое</t>
        </is>
      </c>
      <c r="F89" t="inlineStr">
        <is>
          <t>pozdnij-sbor-krasnoe</t>
        </is>
      </c>
      <c r="G89" t="inlineStr">
        <is>
          <t>pozdnij-sbor-beloe</t>
        </is>
      </c>
      <c r="H89" t="inlineStr">
        <is>
          <t>usadba-aleksandrovskaya-bubnovyy-valet-kaberne-sovinon-krasnoe-polusladkoe-13</t>
        </is>
      </c>
      <c r="I89" t="inlineStr">
        <is>
          <t>sober-bash-dve-doliny-tsimlyanskiy-2023-tsimlyanskiy-chernyy-krasnoe-suhoe-13</t>
        </is>
      </c>
      <c r="J89" t="inlineStr">
        <is>
          <t>kokur-premium</t>
        </is>
      </c>
      <c r="K89">
        <f>IF(C89="","",IFERROR(MATCH(C89,F89:J89,0),"нет"))</f>
        <v/>
      </c>
      <c r="L89">
        <f>IF(C89="","",IF(K89=1,1,0))</f>
        <v/>
      </c>
      <c r="M89">
        <f>IF(C89="","",IF(ISNUMBER(K89),1,0))</f>
        <v/>
      </c>
      <c r="N89" t="inlineStr">
        <is>
          <t>Поздний сбор, Красное — Литавщук. Litavshchuk vineyards &amp; winery — Красное сладкое</t>
        </is>
      </c>
      <c r="O89" t="inlineStr">
        <is>
          <t>Поздний сбор  Белое — Литавщук. Litavshchuk vineyards &amp; winery — Белое сладкое</t>
        </is>
      </c>
      <c r="P89" t="inlineStr">
        <is>
          <t>Бубновый Валет — Усадьба Александровская — Красное полусладкое</t>
        </is>
      </c>
      <c r="Q89" t="inlineStr">
        <is>
          <t>Две долины. Цимлянский 2023 — Собер Баш — Красное сухое</t>
        </is>
      </c>
      <c r="R89" t="inlineStr">
        <is>
          <t>Кокур Премиум — Массандра — Белое сухое</t>
        </is>
      </c>
      <c r="S89" s="3" t="n">
        <v>0.9990812540054321</v>
      </c>
      <c r="T89" s="3" t="n">
        <v>1.124317847711609e-07</v>
      </c>
      <c r="U89" t="n">
        <v>785.5</v>
      </c>
    </row>
    <row r="90">
      <c r="A90" t="inlineStr">
        <is>
          <t>96.77_24-08-2026_14-10-46.webp</t>
        </is>
      </c>
      <c r="B90" t="inlineStr">
        <is>
          <t>уверенно</t>
        </is>
      </c>
      <c r="C90" t="inlineStr">
        <is>
          <t>golubitskoe-estate-red-blend-kaberne-sovinon-krasnoe-suhoe-136</t>
        </is>
      </c>
      <c r="D90" t="inlineStr">
        <is>
          <t>Red Blend — Golubitskoe Estate — Красное сухое</t>
        </is>
      </c>
      <c r="F90" t="inlineStr">
        <is>
          <t>golubitskoe-estate-red-blend-kaberne-sovinon-krasnoe-suhoe-136</t>
        </is>
      </c>
      <c r="G90" t="inlineStr">
        <is>
          <t>golubitskoe-estate-winery-series-roze-blend-kaberne-sovinon-rozovoe-suhoe-117</t>
        </is>
      </c>
      <c r="H90" t="inlineStr">
        <is>
          <t>golubitskoe-estate-winery-series-pino-nuar-rozovoe-suhoe-115</t>
        </is>
      </c>
      <c r="I90" t="inlineStr">
        <is>
          <t>golubitskoe-estate-noble-selection-red-blend-kaberne-sovinon-krasnoe-suhoe-136</t>
        </is>
      </c>
      <c r="J90" t="inlineStr">
        <is>
          <t>pomeste-golubitskoe-kaberne-sovinon-rezerv-krasnoe-suhoe-143</t>
        </is>
      </c>
      <c r="K90">
        <f>IF(C90="","",IFERROR(MATCH(C90,F90:J90,0),"нет"))</f>
        <v/>
      </c>
      <c r="L90">
        <f>IF(C90="","",IF(K90=1,1,0))</f>
        <v/>
      </c>
      <c r="M90">
        <f>IF(C90="","",IF(ISNUMBER(K90),1,0))</f>
        <v/>
      </c>
      <c r="N90" t="inlineStr">
        <is>
          <t>Red Blend — Golubitskoe Estate — Красное сухое</t>
        </is>
      </c>
      <c r="O90" t="inlineStr">
        <is>
          <t>Winery Series. Розе бленд — Golubitskoe Estate — Розовое сухое</t>
        </is>
      </c>
      <c r="P90" t="inlineStr">
        <is>
          <t>Winery Series. Пино Нуар — Golubitskoe Estate — Розовое сухое</t>
        </is>
      </c>
      <c r="Q90" t="inlineStr">
        <is>
          <t>Noble Selection Red Blend — Golubitskoe Estate — Красное сухое</t>
        </is>
      </c>
      <c r="R90" t="inlineStr">
        <is>
          <t>Каберне Совиньон Резерв — Golubitskoe Estate — Красное сухое</t>
        </is>
      </c>
      <c r="S90" s="3" t="n">
        <v>0.9983227849006653</v>
      </c>
      <c r="T90" s="3" t="n">
        <v>6.950627721380442e-06</v>
      </c>
      <c r="U90" t="n">
        <v>683.4</v>
      </c>
    </row>
    <row r="91">
      <c r="A91" t="inlineStr">
        <is>
          <t>96.78_25-08-2026_18-04-42.webp</t>
        </is>
      </c>
      <c r="B91" t="inlineStr">
        <is>
          <t>исключено</t>
        </is>
      </c>
      <c r="E91" t="inlineStr">
        <is>
          <t>здесь на фото 2 вина разных</t>
        </is>
      </c>
      <c r="F91" t="inlineStr">
        <is>
          <t>czitronnyj-magaracha</t>
        </is>
      </c>
      <c r="G91" t="inlineStr">
        <is>
          <t>rubin-golodrigi</t>
        </is>
      </c>
      <c r="H91" t="inlineStr">
        <is>
          <t>kaberne-sovinon-2</t>
        </is>
      </c>
      <c r="I91" t="inlineStr">
        <is>
          <t>risling-1</t>
        </is>
      </c>
      <c r="J91" t="inlineStr">
        <is>
          <t>bukovinka</t>
        </is>
      </c>
      <c r="K91">
        <f>IF(C91="","",IFERROR(MATCH(C91,F91:J91,0),"нет"))</f>
        <v/>
      </c>
      <c r="L91">
        <f>IF(C91="","",IF(K91=1,1,0))</f>
        <v/>
      </c>
      <c r="M91">
        <f>IF(C91="","",IF(ISNUMBER(K91),1,0))</f>
        <v/>
      </c>
      <c r="N91" t="inlineStr">
        <is>
          <t>Цитрон — Табия — Белое сухое</t>
        </is>
      </c>
      <c r="O91" t="inlineStr">
        <is>
          <t>Рубин Голодриги  — Табия — Красное сухое</t>
        </is>
      </c>
      <c r="P91" t="inlineStr">
        <is>
          <t>Каберне Совиньон — Табия — Красное сухое</t>
        </is>
      </c>
      <c r="Q91" t="inlineStr">
        <is>
          <t>Рислинг — Табия — Белое полусухое</t>
        </is>
      </c>
      <c r="R91" t="inlineStr">
        <is>
          <t>Буковинка — Табия — Белое полусухое</t>
        </is>
      </c>
      <c r="S91" s="3" t="n">
        <v>0.9986379742622375</v>
      </c>
      <c r="T91" s="3" t="n">
        <v>0.001031890278682113</v>
      </c>
      <c r="U91" t="n">
        <v>622.1</v>
      </c>
    </row>
    <row r="92">
      <c r="A92" t="inlineStr">
        <is>
          <t>96.79_20-08-2026_17-48-31.webp</t>
        </is>
      </c>
      <c r="B92" t="inlineStr">
        <is>
          <t>уверенно</t>
        </is>
      </c>
      <c r="C92" t="inlineStr">
        <is>
          <t>oleg</t>
        </is>
      </c>
      <c r="D92" t="inlineStr">
        <is>
          <t>Олег — Табия — Белое сухое</t>
        </is>
      </c>
      <c r="F92" t="inlineStr">
        <is>
          <t>oleg</t>
        </is>
      </c>
      <c r="G92" t="inlineStr">
        <is>
          <t>roze-2</t>
        </is>
      </c>
      <c r="H92" t="inlineStr">
        <is>
          <t>kaberne-sovinon-2</t>
        </is>
      </c>
      <c r="I92" t="inlineStr">
        <is>
          <t>rubin-golodrigi</t>
        </is>
      </c>
      <c r="J92" t="inlineStr">
        <is>
          <t>czitronnyj-magaracha</t>
        </is>
      </c>
      <c r="K92">
        <f>IF(C92="","",IFERROR(MATCH(C92,F92:J92,0),"нет"))</f>
        <v/>
      </c>
      <c r="L92">
        <f>IF(C92="","",IF(K92=1,1,0))</f>
        <v/>
      </c>
      <c r="M92">
        <f>IF(C92="","",IF(ISNUMBER(K92),1,0))</f>
        <v/>
      </c>
      <c r="N92" t="inlineStr">
        <is>
          <t>Олег — Табия — Белое сухое</t>
        </is>
      </c>
      <c r="O92" t="inlineStr">
        <is>
          <t>Розе — Табия — Розовое сухое</t>
        </is>
      </c>
      <c r="P92" t="inlineStr">
        <is>
          <t>Каберне Совиньон — Табия — Красное сухое</t>
        </is>
      </c>
      <c r="Q92" t="inlineStr">
        <is>
          <t>Рубин Голодриги  — Табия — Красное сухое</t>
        </is>
      </c>
      <c r="R92" t="inlineStr">
        <is>
          <t>Цитрон — Табия — Белое сухое</t>
        </is>
      </c>
      <c r="S92" s="3" t="n">
        <v>0.999934196472168</v>
      </c>
      <c r="T92" s="3" t="n">
        <v>4.222573352308245e-06</v>
      </c>
      <c r="U92" t="n">
        <v>577.3</v>
      </c>
    </row>
    <row r="93">
      <c r="A93" t="inlineStr">
        <is>
          <t>96.79_28-08-2026_22-05-22.webp</t>
        </is>
      </c>
      <c r="B93" t="inlineStr">
        <is>
          <t>уверенно</t>
        </is>
      </c>
      <c r="C93" t="inlineStr">
        <is>
          <t>vinodelnya-vedernikov-vedernikov-dolina-dona-beloe-suhoe-aligote-12</t>
        </is>
      </c>
      <c r="D93" t="inlineStr">
        <is>
          <t>Ведерниковъ Долина Дона Белое Сухое — Ведерниковъ — Белое сухое</t>
        </is>
      </c>
      <c r="F93" t="inlineStr">
        <is>
          <t>vinodelnya-vedernikov-vedernikov-dolina-dona-beloe-suhoe-aligote-12</t>
        </is>
      </c>
      <c r="G93" t="inlineStr">
        <is>
          <t>vinodelnya-vedernikov-sibirkovyy-beloe-suhoe-11</t>
        </is>
      </c>
      <c r="H93" t="inlineStr">
        <is>
          <t>vinodelnya-vedernikov-gubernatorskoe-risling-beloe-suhoe-12</t>
        </is>
      </c>
      <c r="I93" t="inlineStr">
        <is>
          <t>vinodelnya-vedernikov-vedernikov-dolina-dona-krasnoe-suhoe-kaberne-sovinon-125</t>
        </is>
      </c>
      <c r="J93" t="inlineStr">
        <is>
          <t>vinodelnya-vedernikov-krasnostop-zolotovskiy-krasnoe-suhoe-13</t>
        </is>
      </c>
      <c r="K93">
        <f>IF(C93="","",IFERROR(MATCH(C93,F93:J93,0),"нет"))</f>
        <v/>
      </c>
      <c r="L93">
        <f>IF(C93="","",IF(K93=1,1,0))</f>
        <v/>
      </c>
      <c r="M93">
        <f>IF(C93="","",IF(ISNUMBER(K93),1,0))</f>
        <v/>
      </c>
      <c r="N93" t="inlineStr">
        <is>
          <t>Ведерниковъ Долина Дона Белое Сухое — Ведерниковъ — Белое сухое</t>
        </is>
      </c>
      <c r="O93" t="inlineStr">
        <is>
          <t>Сибирьковый — Ведерниковъ — Белое сухое</t>
        </is>
      </c>
      <c r="P93" t="inlineStr">
        <is>
          <t>Губернаторское. Рислинг — Ведерниковъ — Белое сухое</t>
        </is>
      </c>
      <c r="Q93" t="inlineStr">
        <is>
          <t>Ведерниковъ Долина Дона Красное Сухое — Ведерниковъ — Красное сухое</t>
        </is>
      </c>
      <c r="R93" t="inlineStr">
        <is>
          <t>Красностоп Золотовский — Ведерниковъ — Красное сухое</t>
        </is>
      </c>
      <c r="S93" s="3" t="n">
        <v>0.9999810457229614</v>
      </c>
      <c r="T93" s="3" t="n">
        <v>4.450767789876409e-07</v>
      </c>
      <c r="U93" t="n">
        <v>614.9</v>
      </c>
    </row>
    <row r="94">
      <c r="A94" t="inlineStr">
        <is>
          <t>96.7_28-08-2026_13-50-21.webp</t>
        </is>
      </c>
      <c r="B94" t="inlineStr">
        <is>
          <t>нет в каталоге</t>
        </is>
      </c>
      <c r="F94" t="inlineStr">
        <is>
          <t>usadba-divnomorskoe-solist-marselan-rozovoe-suhoe-115</t>
        </is>
      </c>
      <c r="G94" t="inlineStr">
        <is>
          <t>usadba-divnomorskoe-yuzhnyy-les-merlo-krasnoe-suhoe-137</t>
        </is>
      </c>
      <c r="H94" t="inlineStr">
        <is>
          <t>usadba-divnomorskoe-holodnyy-tuman-risling-beloe-suhoe-115</t>
        </is>
      </c>
      <c r="I94" t="inlineStr">
        <is>
          <t>usadba-divnomorskoe-solnechnyy-veter-shardone-beloe-suhoe-125</t>
        </is>
      </c>
      <c r="J94" t="inlineStr">
        <is>
          <t>vinodelnya-vedernikov-vedernikov-krasnostop-zolotovskiy-magnum-krasnoe-suhoe-145</t>
        </is>
      </c>
      <c r="K94">
        <f>IF(C94="","",IFERROR(MATCH(C94,F94:J94,0),"нет"))</f>
        <v/>
      </c>
      <c r="L94">
        <f>IF(C94="","",IF(K94=1,1,0))</f>
        <v/>
      </c>
      <c r="M94">
        <f>IF(C94="","",IF(ISNUMBER(K94),1,0))</f>
        <v/>
      </c>
      <c r="N94" t="inlineStr">
        <is>
          <t>Солист — Усадьба Дивноморское — Розовое сухое</t>
        </is>
      </c>
      <c r="O94" t="inlineStr">
        <is>
          <t>Южный Лес — Усадьба Дивноморское — Красное сухое</t>
        </is>
      </c>
      <c r="P94" t="inlineStr">
        <is>
          <t>Холодный Туман — Усадьба Дивноморское — Белое сухое</t>
        </is>
      </c>
      <c r="Q94" t="inlineStr">
        <is>
          <t>Солнечный Ветер — Усадьба Дивноморское — Белое сухое</t>
        </is>
      </c>
      <c r="R94" t="inlineStr">
        <is>
          <t>Ведерниковъ Красностоп Золотовский (магнум) — Ведерниковъ — Красное сухое</t>
        </is>
      </c>
      <c r="S94" s="3" t="n">
        <v>0.6195282936096191</v>
      </c>
      <c r="T94" s="3" t="n">
        <v>0.001535657094791532</v>
      </c>
      <c r="U94" t="n">
        <v>1179.1</v>
      </c>
    </row>
    <row r="95">
      <c r="A95" t="inlineStr">
        <is>
          <t>96.83_20-08-2026_17-48-13.webp</t>
        </is>
      </c>
      <c r="B95" t="inlineStr">
        <is>
          <t>уверенно</t>
        </is>
      </c>
      <c r="C95" t="inlineStr">
        <is>
          <t>oleg</t>
        </is>
      </c>
      <c r="D95" t="inlineStr">
        <is>
          <t>Олег — Табия — Белое сухое</t>
        </is>
      </c>
      <c r="F95" t="inlineStr">
        <is>
          <t>oleg</t>
        </is>
      </c>
      <c r="G95" t="inlineStr">
        <is>
          <t>roze-2</t>
        </is>
      </c>
      <c r="H95" t="inlineStr">
        <is>
          <t>kaberne-sovinon-2</t>
        </is>
      </c>
      <c r="I95" t="inlineStr">
        <is>
          <t>rubin-golodrigi</t>
        </is>
      </c>
      <c r="J95" t="inlineStr">
        <is>
          <t>rozovoe-zoloto</t>
        </is>
      </c>
      <c r="K95">
        <f>IF(C95="","",IFERROR(MATCH(C95,F95:J95,0),"нет"))</f>
        <v/>
      </c>
      <c r="L95">
        <f>IF(C95="","",IF(K95=1,1,0))</f>
        <v/>
      </c>
      <c r="M95">
        <f>IF(C95="","",IF(ISNUMBER(K95),1,0))</f>
        <v/>
      </c>
      <c r="N95" t="inlineStr">
        <is>
          <t>Олег — Табия — Белое сухое</t>
        </is>
      </c>
      <c r="O95" t="inlineStr">
        <is>
          <t>Розе — Табия — Розовое сухое</t>
        </is>
      </c>
      <c r="P95" t="inlineStr">
        <is>
          <t>Каберне Совиньон — Табия — Красное сухое</t>
        </is>
      </c>
      <c r="Q95" t="inlineStr">
        <is>
          <t>Рубин Голодриги  — Табия — Красное сухое</t>
        </is>
      </c>
      <c r="R95" t="inlineStr">
        <is>
          <t>Розовое золото — Табия — Розовое полусухое</t>
        </is>
      </c>
      <c r="S95" s="3" t="n">
        <v>0.9999880790710449</v>
      </c>
      <c r="T95" s="3" t="n">
        <v>1.553481752125663e-06</v>
      </c>
      <c r="U95" t="n">
        <v>547.4</v>
      </c>
    </row>
    <row r="96">
      <c r="A96" t="inlineStr">
        <is>
          <t>96.8_25-08-2026_22-20-38.webp</t>
        </is>
      </c>
      <c r="B96" t="inlineStr">
        <is>
          <t>не уверен</t>
        </is>
      </c>
      <c r="C96" t="inlineStr">
        <is>
          <t>sovinon-blan</t>
        </is>
      </c>
      <c r="D96" t="inlineStr">
        <is>
          <t>Совиньон Блан — Литавщук. Litavshchuk vineyards &amp; winery — Белое полусладкое</t>
        </is>
      </c>
      <c r="E96" t="inlineStr">
        <is>
          <t>то что в slug полусладкое, а на фото полусухое</t>
        </is>
      </c>
      <c r="F96" t="inlineStr">
        <is>
          <t>sovinon-blan</t>
        </is>
      </c>
      <c r="G96" t="inlineStr">
        <is>
          <t>blagolyubov-sovinon-blan-beloe-suhoe-125</t>
        </is>
      </c>
      <c r="H96" t="inlineStr">
        <is>
          <t>vinodelnya-myshako-sovinon-blan-beloe-suhoe-122</t>
        </is>
      </c>
      <c r="I96" t="inlineStr">
        <is>
          <t>dubinin-winery-sovinon-blan-beloe-suhoe-12</t>
        </is>
      </c>
      <c r="J96" t="inlineStr">
        <is>
          <t>sober-bash-kumshatskiy-kumshatskiy-belyy-beloe-suhoe-11</t>
        </is>
      </c>
      <c r="K96">
        <f>IF(C96="","",IFERROR(MATCH(C96,F96:J96,0),"нет"))</f>
        <v/>
      </c>
      <c r="L96">
        <f>IF(C96="","",IF(K96=1,1,0))</f>
        <v/>
      </c>
      <c r="M96">
        <f>IF(C96="","",IF(ISNUMBER(K96),1,0))</f>
        <v/>
      </c>
      <c r="N96" t="inlineStr">
        <is>
          <t>Совиньон Блан — Литавщук. Litavshchuk vineyards &amp; winery — Белое полусладкое</t>
        </is>
      </c>
      <c r="O96" t="inlineStr">
        <is>
          <t>Совиньон Блан — Благолюбов — Белое сухое</t>
        </is>
      </c>
      <c r="P96" t="inlineStr">
        <is>
          <t>Совиньон Блан — Мысхако — Белое сухое</t>
        </is>
      </c>
      <c r="Q96" t="inlineStr">
        <is>
          <t>Совиньон Блан — Dubinin Winery — Белое сухое</t>
        </is>
      </c>
      <c r="R96" t="inlineStr">
        <is>
          <t>Кумшацкий — Собер Баш — Белое сухое</t>
        </is>
      </c>
      <c r="S96" s="3" t="n">
        <v>1</v>
      </c>
      <c r="T96" s="3" t="n">
        <v>4.691164434689199e-08</v>
      </c>
      <c r="U96" t="n">
        <v>895.5</v>
      </c>
    </row>
    <row r="97">
      <c r="A97" t="inlineStr">
        <is>
          <t>96.96_05-09-2026_19-02-01.webp</t>
        </is>
      </c>
      <c r="B97" t="inlineStr">
        <is>
          <t>уверенно</t>
        </is>
      </c>
      <c r="C97" t="inlineStr">
        <is>
          <t>denisov_rubin_klaret_krasnaya_strelka</t>
        </is>
      </c>
      <c r="D97" t="inlineStr">
        <is>
          <t>Рубин кларет . Красная стрелка — Denisov Winery — Розовое сухое</t>
        </is>
      </c>
      <c r="F97" t="inlineStr">
        <is>
          <t>denisov_rubin_klaret_krasnaya_strelka</t>
        </is>
      </c>
      <c r="G97" t="inlineStr">
        <is>
          <t>denisov_pino_noir_klaret</t>
        </is>
      </c>
      <c r="H97" t="inlineStr">
        <is>
          <t>vinodelnya-pokrovskaya-pokrovskoe-sladkoe-krasnoe-kaberne-sovinon-13</t>
        </is>
      </c>
      <c r="I97" t="inlineStr">
        <is>
          <t>usadba-aleksandrovskaya-bubnovyy-valet-kaberne-sovinon-krasnoe-polusladkoe-13</t>
        </is>
      </c>
      <c r="J97" t="inlineStr">
        <is>
          <t>vinodelnya-78-aligote-otbornoe-beloe-suhoe-12</t>
        </is>
      </c>
      <c r="K97">
        <f>IF(C97="","",IFERROR(MATCH(C97,F97:J97,0),"нет"))</f>
        <v/>
      </c>
      <c r="L97">
        <f>IF(C97="","",IF(K97=1,1,0))</f>
        <v/>
      </c>
      <c r="M97">
        <f>IF(C97="","",IF(ISNUMBER(K97),1,0))</f>
        <v/>
      </c>
      <c r="N97" t="inlineStr">
        <is>
          <t>Рубин кларет . Красная стрелка — Denisov Winery — Розовое сухое</t>
        </is>
      </c>
      <c r="O97" t="inlineStr">
        <is>
          <t>Пино Нуар кларет. Красная стрелка — Denisov Winery — Розовое сухое</t>
        </is>
      </c>
      <c r="P97" t="inlineStr">
        <is>
          <t>Покровское сладкое красное — Винодельня Покровская — Красное сладкое</t>
        </is>
      </c>
      <c r="Q97" t="inlineStr">
        <is>
          <t>Бубновый Валет — Усадьба Александровская — Красное полусладкое</t>
        </is>
      </c>
      <c r="R97" t="inlineStr">
        <is>
          <t>Алиготе Отборное — Винодельня 78 — Белое сухое</t>
        </is>
      </c>
      <c r="S97" s="3" t="n">
        <v>0.9999986886978149</v>
      </c>
      <c r="T97" s="3" t="n">
        <v>9.422442417417187e-07</v>
      </c>
      <c r="U97" t="n">
        <v>937.4</v>
      </c>
    </row>
    <row r="98">
      <c r="A98" t="inlineStr">
        <is>
          <t>96.98_19-08-2026_19-05-06.webp</t>
        </is>
      </c>
      <c r="B98" t="inlineStr">
        <is>
          <t>уверенно</t>
        </is>
      </c>
      <c r="C98" t="inlineStr">
        <is>
          <t>czitronnyj-magaracha</t>
        </is>
      </c>
      <c r="D98" t="inlineStr">
        <is>
          <t>Цитрон — Табия — Белое сухое</t>
        </is>
      </c>
      <c r="E98" t="inlineStr">
        <is>
          <t>в slug сухое, а нужно полусухое, но полусухого нет</t>
        </is>
      </c>
      <c r="F98" t="inlineStr">
        <is>
          <t>czitronnyj-magaracha</t>
        </is>
      </c>
      <c r="G98" t="inlineStr">
        <is>
          <t>risling-1</t>
        </is>
      </c>
      <c r="H98" t="inlineStr">
        <is>
          <t>oleg</t>
        </is>
      </c>
      <c r="I98" t="inlineStr">
        <is>
          <t>bukovinka</t>
        </is>
      </c>
      <c r="J98" t="inlineStr">
        <is>
          <t>rubin-golodrigi</t>
        </is>
      </c>
      <c r="K98">
        <f>IF(C98="","",IFERROR(MATCH(C98,F98:J98,0),"нет"))</f>
        <v/>
      </c>
      <c r="L98">
        <f>IF(C98="","",IF(K98=1,1,0))</f>
        <v/>
      </c>
      <c r="M98">
        <f>IF(C98="","",IF(ISNUMBER(K98),1,0))</f>
        <v/>
      </c>
      <c r="N98" t="inlineStr">
        <is>
          <t>Цитрон — Табия — Белое сухое</t>
        </is>
      </c>
      <c r="O98" t="inlineStr">
        <is>
          <t>Рислинг — Табия — Белое полусухое</t>
        </is>
      </c>
      <c r="P98" t="inlineStr">
        <is>
          <t>Олег — Табия — Белое сухое</t>
        </is>
      </c>
      <c r="Q98" t="inlineStr">
        <is>
          <t>Буковинка — Табия — Белое полусухое</t>
        </is>
      </c>
      <c r="R98" t="inlineStr">
        <is>
          <t>Рубин Голодриги  — Табия — Красное сухое</t>
        </is>
      </c>
      <c r="S98" s="3" t="n">
        <v>0.9999998807907104</v>
      </c>
      <c r="T98" s="3" t="n">
        <v>5.315784790127509e-08</v>
      </c>
      <c r="U98" t="n">
        <v>570.7</v>
      </c>
    </row>
    <row r="99">
      <c r="A99" t="inlineStr">
        <is>
          <t>97.02_29-08-2026_18-49-02.webp</t>
        </is>
      </c>
      <c r="B99" t="inlineStr">
        <is>
          <t>нет в каталоге</t>
        </is>
      </c>
      <c r="F99" t="inlineStr">
        <is>
          <t>caperavi-avtorskoe-vino</t>
        </is>
      </c>
      <c r="G99" t="inlineStr">
        <is>
          <t>kaberne-avtorskoe-vino</t>
        </is>
      </c>
      <c r="H99" t="inlineStr">
        <is>
          <t>massandra-kagor-yuzhnoberezhnyy-saperavi-krasnoe-sladkoe-16</t>
        </is>
      </c>
      <c r="I99" t="inlineStr">
        <is>
          <t>massandra-premium-sangiovese-sandzhoveze-krasnoe-suhoe-13</t>
        </is>
      </c>
      <c r="J99" t="inlineStr">
        <is>
          <t>kaberne-sovinon</t>
        </is>
      </c>
      <c r="K99">
        <f>IF(C99="","",IFERROR(MATCH(C99,F99:J99,0),"нет"))</f>
        <v/>
      </c>
      <c r="L99">
        <f>IF(C99="","",IF(K99=1,1,0))</f>
        <v/>
      </c>
      <c r="M99">
        <f>IF(C99="","",IF(ISNUMBER(K99),1,0))</f>
        <v/>
      </c>
      <c r="N99" t="inlineStr">
        <is>
          <t>Cаперави. Авторское вино — Массандра — Красное сухое</t>
        </is>
      </c>
      <c r="O99" t="inlineStr">
        <is>
          <t>Каберне. Авторское вино — Массандра — Красное сухое</t>
        </is>
      </c>
      <c r="P99" t="inlineStr">
        <is>
          <t>Кагор Южнобережный — Массандра — Красное сладкое</t>
        </is>
      </c>
      <c r="Q99" t="inlineStr">
        <is>
          <t>Premium Sangiovese — Массандра — Красное сухое</t>
        </is>
      </c>
      <c r="R99" t="inlineStr">
        <is>
          <t>Каберне Совиньон — Массандра — Красное сладкое</t>
        </is>
      </c>
      <c r="S99" s="3" t="n">
        <v>0.9999810457229614</v>
      </c>
      <c r="T99" s="3" t="n">
        <v>4.785027158504818e-06</v>
      </c>
      <c r="U99" t="n">
        <v>569.1</v>
      </c>
    </row>
    <row r="100">
      <c r="A100" t="inlineStr">
        <is>
          <t>97.08_05-09-2026_15-30-50.webp</t>
        </is>
      </c>
      <c r="B100" t="inlineStr">
        <is>
          <t>нет в каталоге</t>
        </is>
      </c>
      <c r="F100" t="inlineStr">
        <is>
          <t>fanagoriya-alveus-ultra-cuvee-brut-shardone-beloe-bryut-12</t>
        </is>
      </c>
      <c r="G100" t="inlineStr">
        <is>
          <t>fanagoriya-alveus-ultra-cuvee-ekstra-bryut-beloe-risling-reynskiy-12</t>
        </is>
      </c>
      <c r="H100" t="inlineStr">
        <is>
          <t>fanagoriya-alveus-ultra-cuvee-ekstra-bryut-rozovoe-merlo-12</t>
        </is>
      </c>
      <c r="I100" t="inlineStr">
        <is>
          <t>rozovoe-bryut-1</t>
        </is>
      </c>
      <c r="J100" t="inlineStr">
        <is>
          <t>novyy-svet-dom-shampanskih-vin-igristoe-vino-vyderzhannoe-polusladkoe-rozovoe-novyy-svet-pino-fran-135</t>
        </is>
      </c>
      <c r="K100">
        <f>IF(C100="","",IFERROR(MATCH(C100,F100:J100,0),"нет"))</f>
        <v/>
      </c>
      <c r="L100">
        <f>IF(C100="","",IF(K100=1,1,0))</f>
        <v/>
      </c>
      <c r="M100">
        <f>IF(C100="","",IF(ISNUMBER(K100),1,0))</f>
        <v/>
      </c>
      <c r="N100" t="inlineStr">
        <is>
          <t>Alveus Ultra Cuvee Brut — Фанагория — Белое брют</t>
        </is>
      </c>
      <c r="O100" t="inlineStr">
        <is>
          <t>Alveus Ultra Cuvee. Экстра брют белое — Фанагория — Белое экстра брют</t>
        </is>
      </c>
      <c r="P100" t="inlineStr">
        <is>
          <t>Alveus Ultra Cuvee. Экстра брют розовое — Фанагория — Розовое экстра брют</t>
        </is>
      </c>
      <c r="Q100" t="inlineStr">
        <is>
          <t>Розовое брют — Золотая Балка — Розовое брют</t>
        </is>
      </c>
      <c r="R100" t="inlineStr">
        <is>
          <t>Игристое вино выдержанное полусладкое розовое «Новый Свет. Пино Фран» — Новый Свет. Дом шампанских вин — Розовое полусладкое</t>
        </is>
      </c>
      <c r="S100" s="3" t="n">
        <v>0.3068480789661407</v>
      </c>
      <c r="T100" s="3" t="n">
        <v>0.6495973467826843</v>
      </c>
      <c r="U100" t="n">
        <v>881.6</v>
      </c>
    </row>
    <row r="101">
      <c r="A101" t="inlineStr">
        <is>
          <t>97.23_05-09-2026_15-34-36.webp</t>
        </is>
      </c>
      <c r="B101" t="inlineStr">
        <is>
          <t>не уверен</t>
        </is>
      </c>
      <c r="C101" t="inlineStr">
        <is>
          <t>sovinon-blan</t>
        </is>
      </c>
      <c r="D101" t="inlineStr">
        <is>
          <t>Совиньон Блан — Литавщук. Litavshchuk vineyards &amp; winery — Белое полусладкое</t>
        </is>
      </c>
      <c r="E101" t="inlineStr">
        <is>
          <t>то что в slug полусладкое, а на фото полусухое</t>
        </is>
      </c>
      <c r="F101" t="inlineStr">
        <is>
          <t>sovinon-blan</t>
        </is>
      </c>
      <c r="G101" t="inlineStr">
        <is>
          <t>blagolyubov-sovinon-blan-beloe-suhoe-125</t>
        </is>
      </c>
      <c r="H101" t="inlineStr">
        <is>
          <t>risling-2</t>
        </is>
      </c>
      <c r="I101" t="inlineStr">
        <is>
          <t>vinodelnya-begildeeva-kaberne-sovinon-krasnoe-suhoe-14</t>
        </is>
      </c>
      <c r="J101" t="inlineStr">
        <is>
          <t>vinodelnya-pokrovskaya-sovinon-blan-pokrovskoe-beloe-suhoe-12</t>
        </is>
      </c>
      <c r="K101">
        <f>IF(C101="","",IFERROR(MATCH(C101,F101:J101,0),"нет"))</f>
        <v/>
      </c>
      <c r="L101">
        <f>IF(C101="","",IF(K101=1,1,0))</f>
        <v/>
      </c>
      <c r="M101">
        <f>IF(C101="","",IF(ISNUMBER(K101),1,0))</f>
        <v/>
      </c>
      <c r="N101" t="inlineStr">
        <is>
          <t>Совиньон Блан — Литавщук. Litavshchuk vineyards &amp; winery — Белое полусладкое</t>
        </is>
      </c>
      <c r="O101" t="inlineStr">
        <is>
          <t>Совиньон Блан — Благолюбов — Белое сухое</t>
        </is>
      </c>
      <c r="P101" t="inlineStr">
        <is>
          <t>Рислинг  — Литавщук. Litavshchuk vineyards &amp; winery — Белое полусухое</t>
        </is>
      </c>
      <c r="Q101" t="inlineStr">
        <is>
          <t>Каберне Совиньон — Винодельня Бегильдеева — Красное сухое</t>
        </is>
      </c>
      <c r="R101" t="inlineStr">
        <is>
          <t>Совиньон Блан. Покровское — Винодельня Покровская — Белое сухое</t>
        </is>
      </c>
      <c r="S101" s="3" t="n">
        <v>0.9999998807907104</v>
      </c>
      <c r="T101" s="3" t="n">
        <v>7.734421103577915e-08</v>
      </c>
      <c r="U101" t="n">
        <v>1126</v>
      </c>
    </row>
  </sheetData>
  <autoFilter ref="A1:U101"/>
  <conditionalFormatting sqref="F2:J101">
    <cfRule type="expression" priority="1" dxfId="0">
      <formula>AND($C2&lt;&gt;"",F2=$C2)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34" customWidth="1" min="3" max="3"/>
    <col width="40" customWidth="1" min="4" max="4"/>
    <col width="30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9" customWidth="1" min="11" max="11"/>
    <col width="9" customWidth="1" min="12" max="12"/>
    <col width="9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12" customWidth="1" min="19" max="19"/>
    <col width="12" customWidth="1" min="20" max="20"/>
    <col width="10" customWidth="1" min="21" max="21"/>
  </cols>
  <sheetData>
    <row r="1">
      <c r="A1" s="5" t="inlineStr">
        <is>
          <t>Фото</t>
        </is>
      </c>
      <c r="B1" s="5" t="inlineStr">
        <is>
          <t>Статус разметки</t>
        </is>
      </c>
      <c r="C1" s="5" t="inlineStr">
        <is>
          <t>target</t>
        </is>
      </c>
      <c r="D1" s="5" t="inlineStr">
        <is>
          <t>target: вино</t>
        </is>
      </c>
      <c r="E1" s="5" t="inlineStr">
        <is>
          <t>Комментарий разметчика</t>
        </is>
      </c>
      <c r="F1" s="5" t="inlineStr">
        <is>
          <t>top-1</t>
        </is>
      </c>
      <c r="G1" s="5" t="inlineStr">
        <is>
          <t>top-2</t>
        </is>
      </c>
      <c r="H1" s="5" t="inlineStr">
        <is>
          <t>top-3</t>
        </is>
      </c>
      <c r="I1" s="5" t="inlineStr">
        <is>
          <t>top-4</t>
        </is>
      </c>
      <c r="J1" s="5" t="inlineStr">
        <is>
          <t>top-5</t>
        </is>
      </c>
      <c r="K1" s="5" t="inlineStr">
        <is>
          <t>Ранг target</t>
        </is>
      </c>
      <c r="L1" s="5" t="inlineStr">
        <is>
          <t>Верно top-1</t>
        </is>
      </c>
      <c r="M1" s="5" t="inlineStr">
        <is>
          <t>Верно top-5</t>
        </is>
      </c>
      <c r="N1" s="5" t="inlineStr">
        <is>
          <t>top-1: вино</t>
        </is>
      </c>
      <c r="O1" s="5" t="inlineStr">
        <is>
          <t>top-2: вино</t>
        </is>
      </c>
      <c r="P1" s="5" t="inlineStr">
        <is>
          <t>top-3: вино</t>
        </is>
      </c>
      <c r="Q1" s="5" t="inlineStr">
        <is>
          <t>top-4: вино</t>
        </is>
      </c>
      <c r="R1" s="5" t="inlineStr">
        <is>
          <t>top-5: вино</t>
        </is>
      </c>
      <c r="S1" s="5" t="inlineStr">
        <is>
          <t>top-1: вероятность VLM</t>
        </is>
      </c>
      <c r="T1" s="5" t="inlineStr">
        <is>
          <t>«нет в списке» (VLM)</t>
        </is>
      </c>
      <c r="U1" s="5" t="inlineStr">
        <is>
          <t>VLM, мс</t>
        </is>
      </c>
    </row>
    <row r="2">
      <c r="A2" t="inlineStr">
        <is>
          <t>1.73_06-09-2026_14-54-06.webp</t>
        </is>
      </c>
      <c r="B2" t="inlineStr">
        <is>
          <t>не уверен</t>
        </is>
      </c>
      <c r="C2" t="inlineStr">
        <is>
          <t>fanagoriya-rose-kaberne-fran-rozovoe-suhoe-13</t>
        </is>
      </c>
      <c r="D2" t="inlineStr">
        <is>
          <t>Rose. Каберне Фран — Фанагория — Розовое сухое</t>
        </is>
      </c>
      <c r="E2" t="inlineStr">
        <is>
          <t>договоримся так, после __ я буду писать свои комментарии. этого вина нет в наборе, но я не уверен</t>
        </is>
      </c>
      <c r="F2" t="inlineStr">
        <is>
          <t>rozovoe-polusladkoe</t>
        </is>
      </c>
      <c r="G2" t="inlineStr">
        <is>
          <t>fanagoriya-beloe-polusladkoe</t>
        </is>
      </c>
      <c r="H2" t="inlineStr">
        <is>
          <t>zolotaya-balka-pink-sira-rozovoe-suhoe-13</t>
        </is>
      </c>
      <c r="I2" t="inlineStr">
        <is>
          <t>roze-1</t>
        </is>
      </c>
      <c r="J2" t="inlineStr">
        <is>
          <t>vinodelnya-pokrovskaya-marinka-marinovskiy-rozovoe-suhoe-123</t>
        </is>
      </c>
      <c r="K2">
        <f>IF(C2="","",IFERROR(MATCH(C2,F2:J2,0),"нет"))</f>
        <v/>
      </c>
      <c r="L2">
        <f>IF(C2="","",IF(K2=1,1,0))</f>
        <v/>
      </c>
      <c r="M2">
        <f>IF(C2="","",IF(ISNUMBER(K2),1,0))</f>
        <v/>
      </c>
      <c r="N2" t="inlineStr">
        <is>
          <t>Розовое полусладкое — Фанагория — Розовое полусладкое</t>
        </is>
      </c>
      <c r="O2" t="inlineStr">
        <is>
          <t>Фанагория белое полусладкое — Фанагория — Белое полусладкое</t>
        </is>
      </c>
      <c r="P2" t="inlineStr">
        <is>
          <t>Pink — Золотая Балка — Розовое сухое</t>
        </is>
      </c>
      <c r="Q2" t="inlineStr">
        <is>
          <t>Розе — Галицкий и Галицкий — Розовое сухое</t>
        </is>
      </c>
      <c r="R2" t="inlineStr">
        <is>
          <t>Маринка — Винодельня Покровская — Розовое сухое</t>
        </is>
      </c>
      <c r="S2" s="3" t="n">
        <v>0.9994252920150757</v>
      </c>
      <c r="T2" s="3" t="n">
        <v>0.000552766490727663</v>
      </c>
      <c r="U2" t="n">
        <v>1719.2</v>
      </c>
    </row>
    <row r="3">
      <c r="A3" t="inlineStr">
        <is>
          <t>2.69_27-08-2026_14-29-00.webp</t>
        </is>
      </c>
      <c r="B3" t="inlineStr">
        <is>
          <t>нет в каталоге</t>
        </is>
      </c>
      <c r="F3" t="inlineStr">
        <is>
          <t>shato-pino-gravitatsiya-kaberne-sovinon-merlo-krasnoe-suhoe-135</t>
        </is>
      </c>
      <c r="G3" t="inlineStr">
        <is>
          <t>shato-pino-marselan-merlo-krasnoe-suhoe-13</t>
        </is>
      </c>
      <c r="H3" t="inlineStr">
        <is>
          <t>shato-pino-sovinon-blan-semilon-beloe-suhoe-115</t>
        </is>
      </c>
      <c r="I3" t="inlineStr">
        <is>
          <t>shato-pino-shato-pino-koldun-merlo-krasnoe-suhoe-137</t>
        </is>
      </c>
      <c r="J3" t="inlineStr">
        <is>
          <t>shato-pino-pino-nuar-pino-gri-rozovoe-suhoe-115</t>
        </is>
      </c>
      <c r="K3">
        <f>IF(C3="","",IFERROR(MATCH(C3,F3:J3,0),"нет"))</f>
        <v/>
      </c>
      <c r="L3">
        <f>IF(C3="","",IF(K3=1,1,0))</f>
        <v/>
      </c>
      <c r="M3">
        <f>IF(C3="","",IF(ISNUMBER(K3),1,0))</f>
        <v/>
      </c>
      <c r="N3" t="inlineStr">
        <is>
          <t>Гравитация. Каберне Совиньон - Мерло — Шато Пино — Красное сухое</t>
        </is>
      </c>
      <c r="O3" t="inlineStr">
        <is>
          <t>Марселан - Мерло — Шато Пино — Красное сухое</t>
        </is>
      </c>
      <c r="P3" t="inlineStr">
        <is>
          <t>Совиньон Блан - Семильон — Шато Пино — Белое сухое</t>
        </is>
      </c>
      <c r="Q3" t="inlineStr">
        <is>
          <t>Шато Пино «Колдун» — Шато Пино — Красное сухое</t>
        </is>
      </c>
      <c r="R3" t="inlineStr">
        <is>
          <t>Пино Нуар - Пино Гри — Шато Пино — Розовое сухое</t>
        </is>
      </c>
      <c r="S3" s="3" t="n">
        <v>0.9563186168670654</v>
      </c>
      <c r="T3" s="3" t="n">
        <v>0.04201770946383476</v>
      </c>
      <c r="U3" t="n">
        <v>978.6</v>
      </c>
    </row>
    <row r="4">
      <c r="A4" t="inlineStr">
        <is>
          <t>41.8_22-08-2026_20-56-40.webp</t>
        </is>
      </c>
      <c r="B4" t="inlineStr">
        <is>
          <t>нет в каталоге</t>
        </is>
      </c>
      <c r="F4" t="inlineStr">
        <is>
          <t>usadba-mezyb-shishka-pino-nuar-rozovoe-suhoe-115</t>
        </is>
      </c>
      <c r="G4" t="inlineStr">
        <is>
          <t>pino-nuar</t>
        </is>
      </c>
      <c r="H4" t="inlineStr">
        <is>
          <t>bakla-vines-pino-nuar-krasnoe-suhoe-125</t>
        </is>
      </c>
      <c r="I4" t="inlineStr">
        <is>
          <t>vaynkraft-pino-nuar-krasnoe-suhoe-13</t>
        </is>
      </c>
      <c r="J4" t="inlineStr">
        <is>
          <t>usadba-perovskih-pino-nuar-rezerv-krasnoe-suhoe-122</t>
        </is>
      </c>
      <c r="K4">
        <f>IF(C4="","",IFERROR(MATCH(C4,F4:J4,0),"нет"))</f>
        <v/>
      </c>
      <c r="L4">
        <f>IF(C4="","",IF(K4=1,1,0))</f>
        <v/>
      </c>
      <c r="M4">
        <f>IF(C4="","",IF(ISNUMBER(K4),1,0))</f>
        <v/>
      </c>
      <c r="N4" t="inlineStr">
        <is>
          <t>Шишка. Пино Нуар — Усадьба Мезыбь — Розовое сухое</t>
        </is>
      </c>
      <c r="O4" t="inlineStr">
        <is>
          <t>Пино Нуар — Галицкий и Галицкий — Красное сухое</t>
        </is>
      </c>
      <c r="P4" t="inlineStr">
        <is>
          <t>Пино Нуар — Bakla Vines — Красное сухое</t>
        </is>
      </c>
      <c r="Q4" t="inlineStr">
        <is>
          <t>Пино Нуар — ВайнКрафт — Красное сухое</t>
        </is>
      </c>
      <c r="R4" t="inlineStr">
        <is>
          <t>Пино Нуар Резерв — Усадьба Перовских — Красное сухое</t>
        </is>
      </c>
      <c r="S4" s="3" t="n">
        <v>0.9970711469650269</v>
      </c>
      <c r="T4" s="3" t="n">
        <v>0.002800567774102092</v>
      </c>
      <c r="U4" t="n">
        <v>1220.5</v>
      </c>
    </row>
    <row r="5">
      <c r="A5" t="inlineStr">
        <is>
          <t>48.98_02-09-2026_18-34-15.webp</t>
        </is>
      </c>
      <c r="B5" t="inlineStr">
        <is>
          <t>уверенно</t>
        </is>
      </c>
      <c r="C5" t="inlineStr">
        <is>
          <t>denisov_rubin_klaret_krasnaya_strelka</t>
        </is>
      </c>
      <c r="D5" t="inlineStr">
        <is>
          <t>Рубин кларет . Красная стрелка — Denisov Winery — Розовое сухое</t>
        </is>
      </c>
      <c r="F5" t="inlineStr">
        <is>
          <t>denisov_rubin_klaret_krasnaya_strelka</t>
        </is>
      </c>
      <c r="G5" t="inlineStr">
        <is>
          <t>denisov_pino_noir_klaret</t>
        </is>
      </c>
      <c r="H5" t="inlineStr">
        <is>
          <t>gunko-winery-krasnye-gliny-kaberne-fran-krasnoe-suhoe-14</t>
        </is>
      </c>
      <c r="I5" t="inlineStr">
        <is>
          <t>vinodelnya-78-aligote-otbornoe-beloe-suhoe-12</t>
        </is>
      </c>
      <c r="J5" t="inlineStr">
        <is>
          <t>vinodelnya-pokrovskaya-pokrovskoe-sladkoe-krasnoe-kaberne-sovinon-13</t>
        </is>
      </c>
      <c r="K5">
        <f>IF(C5="","",IFERROR(MATCH(C5,F5:J5,0),"нет"))</f>
        <v/>
      </c>
      <c r="L5">
        <f>IF(C5="","",IF(K5=1,1,0))</f>
        <v/>
      </c>
      <c r="M5">
        <f>IF(C5="","",IF(ISNUMBER(K5),1,0))</f>
        <v/>
      </c>
      <c r="N5" t="inlineStr">
        <is>
          <t>Рубин кларет . Красная стрелка — Denisov Winery — Розовое сухое</t>
        </is>
      </c>
      <c r="O5" t="inlineStr">
        <is>
          <t>Пино Нуар кларет. Красная стрелка — Denisov Winery — Розовое сухое</t>
        </is>
      </c>
      <c r="P5" t="inlineStr">
        <is>
          <t>Красные Глины — Gunko Winery — Красное сухое</t>
        </is>
      </c>
      <c r="Q5" t="inlineStr">
        <is>
          <t>Алиготе Отборное — Винодельня 78 — Белое сухое</t>
        </is>
      </c>
      <c r="R5" t="inlineStr">
        <is>
          <t>Покровское сладкое красное — Винодельня Покровская — Красное сладкое</t>
        </is>
      </c>
      <c r="S5" s="3" t="n">
        <v>0.9999994039535522</v>
      </c>
      <c r="T5" s="3" t="n">
        <v>1.855390365790299e-07</v>
      </c>
      <c r="U5" t="n">
        <v>1055</v>
      </c>
    </row>
    <row r="6">
      <c r="A6" t="inlineStr">
        <is>
          <t>68.81_05-09-2026_15-46-31.webp</t>
        </is>
      </c>
      <c r="B6" t="inlineStr">
        <is>
          <t>нет в каталоге</t>
        </is>
      </c>
      <c r="F6" t="inlineStr">
        <is>
          <t>fanagoriya-ledyanoe-vino-muskat-muskat-ottonel-beloe-sladkoe-11</t>
        </is>
      </c>
      <c r="G6" t="inlineStr">
        <is>
          <t>soyuz-vino-soyuz-vino-muskat-beloe-polusladkoe-11</t>
        </is>
      </c>
      <c r="H6" t="inlineStr">
        <is>
          <t>usadba-markoth-kaberne-sovinon-rezerv-krasnoe-suhoe-13</t>
        </is>
      </c>
      <c r="I6" t="inlineStr">
        <is>
          <t>valeriy-zaharin-muskat-valeriy-zaharin-muskat-ottonel-beloe-polusladkoe-12</t>
        </is>
      </c>
      <c r="J6" t="inlineStr">
        <is>
          <t>vinodelnya-myshako-muskat-avtorskaya-tehnologiya-mono-beloe-suhoe-128</t>
        </is>
      </c>
      <c r="K6">
        <f>IF(C6="","",IFERROR(MATCH(C6,F6:J6,0),"нет"))</f>
        <v/>
      </c>
      <c r="L6">
        <f>IF(C6="","",IF(K6=1,1,0))</f>
        <v/>
      </c>
      <c r="M6">
        <f>IF(C6="","",IF(ISNUMBER(K6),1,0))</f>
        <v/>
      </c>
      <c r="N6" t="inlineStr">
        <is>
          <t>Ледяное вино. Мускат — Фанагория — Белое сладкое</t>
        </is>
      </c>
      <c r="O6" t="inlineStr">
        <is>
          <t>Союз-Вино Мускат — Союз-Вино — Белое полусладкое</t>
        </is>
      </c>
      <c r="P6" t="inlineStr">
        <is>
          <t>Каберне Совиньон Резерв — Усадьба Маркотх — Красное сухое</t>
        </is>
      </c>
      <c r="Q6" t="inlineStr">
        <is>
          <t>Мускат. Валерий Захарьин — Валерий Захарьин — Белое полусладкое</t>
        </is>
      </c>
      <c r="R6" t="inlineStr">
        <is>
          <t>Мускат. Авторская технология. Моно — Мысхако — Белое сухое</t>
        </is>
      </c>
      <c r="S6" s="3" t="n">
        <v>0.8907505869865417</v>
      </c>
      <c r="T6" s="3" t="n">
        <v>0.1063849851489067</v>
      </c>
      <c r="U6" t="n">
        <v>1291.6</v>
      </c>
    </row>
    <row r="7">
      <c r="A7" t="inlineStr">
        <is>
          <t>70.45_04-09-2026_13-35-37.webp</t>
        </is>
      </c>
      <c r="B7" t="inlineStr">
        <is>
          <t>не уверен</t>
        </is>
      </c>
      <c r="C7" t="inlineStr">
        <is>
          <t>fanagoriya-formula-q-kaberne-sovinon-krasnoe-suhoe-135</t>
        </is>
      </c>
      <c r="D7" t="inlineStr">
        <is>
          <t>Формула Q — Фанагория — Красное сухое</t>
        </is>
      </c>
      <c r="E7" t="inlineStr">
        <is>
          <t>на фото слишком яркая этикетка, в каталоге более темная</t>
        </is>
      </c>
      <c r="F7" t="inlineStr">
        <is>
          <t>fanagoriya-formula-q-saperavi-krasnoe-suhoe-135</t>
        </is>
      </c>
      <c r="G7" t="inlineStr">
        <is>
          <t>fanagoriya-formula-q-kaberne-sovinon-krasnoe-suhoe-135</t>
        </is>
      </c>
      <c r="H7" t="inlineStr">
        <is>
          <t>fanagoriya-q-blanc-sovinon-blan-beloe-suhoe-14</t>
        </is>
      </c>
      <c r="I7" t="inlineStr">
        <is>
          <t>fanagoriya-q-bordeaux-blend-kaberne-sovinon-krasnoe-suhoe-135</t>
        </is>
      </c>
      <c r="J7" t="inlineStr">
        <is>
          <t>fanagoriya-beloe-polusladkoe</t>
        </is>
      </c>
      <c r="K7">
        <f>IF(C7="","",IFERROR(MATCH(C7,F7:J7,0),"нет"))</f>
        <v/>
      </c>
      <c r="L7">
        <f>IF(C7="","",IF(K7=1,1,0))</f>
        <v/>
      </c>
      <c r="M7">
        <f>IF(C7="","",IF(ISNUMBER(K7),1,0))</f>
        <v/>
      </c>
      <c r="N7" t="inlineStr">
        <is>
          <t>Formula Q — Фанагория — Красное сухое</t>
        </is>
      </c>
      <c r="O7" t="inlineStr">
        <is>
          <t>Формула Q — Фанагория — Красное сухое</t>
        </is>
      </c>
      <c r="P7" t="inlineStr">
        <is>
          <t>Q Blanc — Фанагория — Белое сухое</t>
        </is>
      </c>
      <c r="Q7" t="inlineStr">
        <is>
          <t>Q Bordeaux Blend — Фанагория — Красное сухое</t>
        </is>
      </c>
      <c r="R7" t="inlineStr">
        <is>
          <t>Фанагория белое полусладкое — Фанагория — Белое полусладкое</t>
        </is>
      </c>
      <c r="S7" s="3" t="n">
        <v>0.6791761517524719</v>
      </c>
      <c r="T7" s="3" t="n">
        <v>2.354247072844373e-07</v>
      </c>
      <c r="U7" t="n">
        <v>1358</v>
      </c>
    </row>
    <row r="8">
      <c r="A8" t="inlineStr">
        <is>
          <t>72.97_09-09-2026_19-38-57.webp</t>
        </is>
      </c>
      <c r="B8" t="inlineStr">
        <is>
          <t>нет в каталоге</t>
        </is>
      </c>
      <c r="F8" t="inlineStr">
        <is>
          <t>shato-pino-sovinon-blan-semilon-beloe-suhoe-115</t>
        </is>
      </c>
      <c r="G8" t="inlineStr">
        <is>
          <t>shato-pino-gravitatsiya-kaberne-sovinon-merlo-krasnoe-suhoe-135</t>
        </is>
      </c>
      <c r="H8" t="inlineStr">
        <is>
          <t>shato-pino-grand-reserve-chardonnay-shardone-beloe-suhoe-125</t>
        </is>
      </c>
      <c r="I8" t="inlineStr">
        <is>
          <t>shato-pino-blan-de-blan-shardone-beloe-ekstra-bryut-12</t>
        </is>
      </c>
      <c r="J8" t="inlineStr">
        <is>
          <t>shato-pino-marselan-merlo-krasnoe-suhoe-13</t>
        </is>
      </c>
      <c r="K8">
        <f>IF(C8="","",IFERROR(MATCH(C8,F8:J8,0),"нет"))</f>
        <v/>
      </c>
      <c r="L8">
        <f>IF(C8="","",IF(K8=1,1,0))</f>
        <v/>
      </c>
      <c r="M8">
        <f>IF(C8="","",IF(ISNUMBER(K8),1,0))</f>
        <v/>
      </c>
      <c r="N8" t="inlineStr">
        <is>
          <t>Совиньон Блан - Семильон — Шато Пино — Белое сухое</t>
        </is>
      </c>
      <c r="O8" t="inlineStr">
        <is>
          <t>Гравитация. Каберне Совиньон - Мерло — Шато Пино — Красное сухое</t>
        </is>
      </c>
      <c r="P8" t="inlineStr">
        <is>
          <t>Grand Reserve Chardonnay — Шато Пино — Белое сухое</t>
        </is>
      </c>
      <c r="Q8" t="inlineStr">
        <is>
          <t>Блан Де Блан — Шато Пино — Белое экстра брют</t>
        </is>
      </c>
      <c r="R8" t="inlineStr">
        <is>
          <t>Марселан - Мерло — Шато Пино — Красное сухое</t>
        </is>
      </c>
      <c r="S8" s="3" t="n">
        <v>0.130942165851593</v>
      </c>
      <c r="T8" s="3" t="n">
        <v>0.8538501262664795</v>
      </c>
      <c r="U8" t="n">
        <v>960.7</v>
      </c>
    </row>
    <row r="9">
      <c r="A9" t="inlineStr">
        <is>
          <t>82.33_27-08-2026_10-03-52.webp</t>
        </is>
      </c>
      <c r="B9" t="inlineStr">
        <is>
          <t>уверенно</t>
        </is>
      </c>
      <c r="C9" t="inlineStr">
        <is>
          <t>skalistyj-bereg-shepot-czvetov</t>
        </is>
      </c>
      <c r="D9" t="inlineStr">
        <is>
          <t>Скалистый берег Шепот цветов — Скалистый берег — Белое сухое</t>
        </is>
      </c>
      <c r="F9" t="inlineStr">
        <is>
          <t>skalistyj-bereg-shepot-czvetov</t>
        </is>
      </c>
      <c r="G9" t="inlineStr">
        <is>
          <t>skalistyy-bereg-melodiya-leta-krasnostop-zolotovskiy-rozovoe-suhoe-126</t>
        </is>
      </c>
      <c r="H9" t="inlineStr">
        <is>
          <t>skalistyy-bereg-dyhanie-voln-shardone-beloe-suhoe-121</t>
        </is>
      </c>
      <c r="I9" t="inlineStr">
        <is>
          <t>vysokij-bereg-czvajgelt</t>
        </is>
      </c>
      <c r="J9" t="inlineStr">
        <is>
          <t>belbek-rkatsiteli-beloe-suhoe-13</t>
        </is>
      </c>
      <c r="K9">
        <f>IF(C9="","",IFERROR(MATCH(C9,F9:J9,0),"нет"))</f>
        <v/>
      </c>
      <c r="L9">
        <f>IF(C9="","",IF(K9=1,1,0))</f>
        <v/>
      </c>
      <c r="M9">
        <f>IF(C9="","",IF(ISNUMBER(K9),1,0))</f>
        <v/>
      </c>
      <c r="N9" t="inlineStr">
        <is>
          <t>Скалистый берег Шепот цветов — Скалистый берег — Белое сухое</t>
        </is>
      </c>
      <c r="O9" t="inlineStr">
        <is>
          <t>Мелодия лета — Скалистый берег — Розовое сухое</t>
        </is>
      </c>
      <c r="P9" t="inlineStr">
        <is>
          <t>Дыхание волн — Скалистый берег — Белое сухое</t>
        </is>
      </c>
      <c r="Q9" t="inlineStr">
        <is>
          <t>Высокий Берег Цвайгельт — Кубань-Вино — Розовое сухое</t>
        </is>
      </c>
      <c r="R9" t="inlineStr">
        <is>
          <t>Ркацители — Бельбек — Белое сухое</t>
        </is>
      </c>
      <c r="S9" s="3" t="n">
        <v>0.9999998807907104</v>
      </c>
      <c r="T9" s="3" t="n">
        <v>5.315784790127509e-08</v>
      </c>
      <c r="U9" t="n">
        <v>1171.2</v>
      </c>
    </row>
    <row r="10">
      <c r="A10" t="inlineStr">
        <is>
          <t>84.73_07-09-2026_11-07-51.webp</t>
        </is>
      </c>
      <c r="B10" t="inlineStr">
        <is>
          <t>уверенно</t>
        </is>
      </c>
      <c r="C10" t="inlineStr">
        <is>
          <t>zhemchuzhnaya-9-aligote-czitron</t>
        </is>
      </c>
      <c r="D10" t="inlineStr">
        <is>
          <t>Жемчужная 9 Алиготе, Цитрон — АРАТТИ — Белое сухое</t>
        </is>
      </c>
      <c r="F10" t="inlineStr">
        <is>
          <t>zhemchuzhnaya-9-aligote-czitron</t>
        </is>
      </c>
      <c r="G10" t="inlineStr">
        <is>
          <t>zhemchuzhnaya-9-czitron-shardone</t>
        </is>
      </c>
      <c r="H10" t="inlineStr">
        <is>
          <t>zhemchuzhnaya-9-sovinon-blan-aligote</t>
        </is>
      </c>
      <c r="I10" t="inlineStr">
        <is>
          <t>zhemchuzhnaya-9-czitron-shardone-1</t>
        </is>
      </c>
      <c r="J10" t="inlineStr">
        <is>
          <t>czitronnyj-magaracha-sovinon-blan</t>
        </is>
      </c>
      <c r="K10">
        <f>IF(C10="","",IFERROR(MATCH(C10,F10:J10,0),"нет"))</f>
        <v/>
      </c>
      <c r="L10">
        <f>IF(C10="","",IF(K10=1,1,0))</f>
        <v/>
      </c>
      <c r="M10">
        <f>IF(C10="","",IF(ISNUMBER(K10),1,0))</f>
        <v/>
      </c>
      <c r="N10" t="inlineStr">
        <is>
          <t>Жемчужная 9 Алиготе, Цитрон — АРАТТИ — Белое сухое</t>
        </is>
      </c>
      <c r="O10" t="inlineStr">
        <is>
          <t>Жемчужная 9 Цитрон, Шардоне — АРАТТИ — Белое сухое</t>
        </is>
      </c>
      <c r="P10" t="inlineStr">
        <is>
          <t>Жемчужная 9 Совиньон блан, Алиготе — АРАТТИ — Белое сухое</t>
        </is>
      </c>
      <c r="Q10" t="inlineStr">
        <is>
          <t>Жемчужная 9 Цитрон, Шардоне — АРАТТИ — Белое полусладкое</t>
        </is>
      </c>
      <c r="R10" t="inlineStr">
        <is>
          <t>Жемчужная 9 Цитрон, Совиньон блан — АРАТТИ — Белое полусухое</t>
        </is>
      </c>
      <c r="S10" s="3" t="n">
        <v>0.999998927116394</v>
      </c>
      <c r="T10" s="3" t="n">
        <v>9.931184052902609e-08</v>
      </c>
      <c r="U10" t="n">
        <v>911.5</v>
      </c>
    </row>
    <row r="11">
      <c r="A11" t="inlineStr">
        <is>
          <t>87.09_22-08-2026_20-57-16.webp</t>
        </is>
      </c>
      <c r="B11" t="inlineStr">
        <is>
          <t>уверенно</t>
        </is>
      </c>
      <c r="C11" t="inlineStr">
        <is>
          <t>pobeda</t>
        </is>
      </c>
      <c r="D11" t="inlineStr">
        <is>
          <t>Победа — Табия — Красное сухое</t>
        </is>
      </c>
      <c r="F11" t="inlineStr">
        <is>
          <t>pobeda</t>
        </is>
      </c>
      <c r="G11" t="inlineStr">
        <is>
          <t>vinodelnya-begildeeva-kaberne-sovinon-krasnoe-suhoe-14</t>
        </is>
      </c>
      <c r="H11" t="inlineStr">
        <is>
          <t>kaberne-sovinon-2</t>
        </is>
      </c>
      <c r="I11" t="inlineStr">
        <is>
          <t>rubin-golodrigi</t>
        </is>
      </c>
      <c r="J11" t="inlineStr">
        <is>
          <t>chateau-de-talu-kaberne-sovinon-rezerv-krasnoe-suhoe-14</t>
        </is>
      </c>
      <c r="K11">
        <f>IF(C11="","",IFERROR(MATCH(C11,F11:J11,0),"нет"))</f>
        <v/>
      </c>
      <c r="L11">
        <f>IF(C11="","",IF(K11=1,1,0))</f>
        <v/>
      </c>
      <c r="M11">
        <f>IF(C11="","",IF(ISNUMBER(K11),1,0))</f>
        <v/>
      </c>
      <c r="N11" t="inlineStr">
        <is>
          <t>Победа — Табия — Красное сухое</t>
        </is>
      </c>
      <c r="O11" t="inlineStr">
        <is>
          <t>Каберне Совиньон — Винодельня Бегильдеева — Красное сухое</t>
        </is>
      </c>
      <c r="P11" t="inlineStr">
        <is>
          <t>Каберне Совиньон — Табия — Красное сухое</t>
        </is>
      </c>
      <c r="Q11" t="inlineStr">
        <is>
          <t>Рубин Голодриги  — Табия — Красное сухое</t>
        </is>
      </c>
      <c r="R11" t="inlineStr">
        <is>
          <t>Каберне Совиньон Резерв — Chateau de Talu — Красное сухое</t>
        </is>
      </c>
      <c r="S11" s="3" t="n">
        <v>0.9999996423721313</v>
      </c>
      <c r="T11" s="3" t="n">
        <v>1.855390792115941e-07</v>
      </c>
      <c r="U11" t="n">
        <v>832.4</v>
      </c>
    </row>
    <row r="12">
      <c r="A12" t="inlineStr">
        <is>
          <t>87.54_03-09-2026_13-27-53.webp</t>
        </is>
      </c>
      <c r="B12" t="inlineStr">
        <is>
          <t>уверенно</t>
        </is>
      </c>
      <c r="C12" t="inlineStr">
        <is>
          <t>relikta-relikta-sira-kaberne-fran-krasnoe-suhoe-13</t>
        </is>
      </c>
      <c r="D12" t="inlineStr">
        <is>
          <t>Реликта Сира, Каберне Фран — Реликта — Красное сухое</t>
        </is>
      </c>
      <c r="F12" t="inlineStr">
        <is>
          <t>relikta-relikta-sira-kaberne-fran-krasnoe-suhoe-13</t>
        </is>
      </c>
      <c r="G12" t="inlineStr">
        <is>
          <t>relikta-relikta-kaberne-sovinon-krasnoe-suhoe-135</t>
        </is>
      </c>
      <c r="H12" t="inlineStr">
        <is>
          <t>relikta-relikta-sira-krasnoe-suhoe-13</t>
        </is>
      </c>
      <c r="I12" t="inlineStr">
        <is>
          <t>relikta-relikta-merlo-kaberne-sovinon-krasnoe-suhoe-135</t>
        </is>
      </c>
      <c r="J12" t="inlineStr">
        <is>
          <t>relikta-relikta-merlo-krasnoe-suhoe-135</t>
        </is>
      </c>
      <c r="K12">
        <f>IF(C12="","",IFERROR(MATCH(C12,F12:J12,0),"нет"))</f>
        <v/>
      </c>
      <c r="L12">
        <f>IF(C12="","",IF(K12=1,1,0))</f>
        <v/>
      </c>
      <c r="M12">
        <f>IF(C12="","",IF(ISNUMBER(K12),1,0))</f>
        <v/>
      </c>
      <c r="N12" t="inlineStr">
        <is>
          <t>Реликта Сира, Каберне Фран — Реликта — Красное сухое</t>
        </is>
      </c>
      <c r="O12" t="inlineStr">
        <is>
          <t>Реликта Каберне Совиньон — Реликта — Красное сухое</t>
        </is>
      </c>
      <c r="P12" t="inlineStr">
        <is>
          <t>Реликта Сира — Реликта — Красное сухое</t>
        </is>
      </c>
      <c r="Q12" t="inlineStr">
        <is>
          <t>Реликта Мерло, Каберне Совиньон — Реликта — Красное сухое</t>
        </is>
      </c>
      <c r="R12" t="inlineStr">
        <is>
          <t>Реликта Мерло — Реликта — Красное сухое</t>
        </is>
      </c>
      <c r="S12" s="3" t="n">
        <v>0.9999998807907104</v>
      </c>
      <c r="T12" s="3" t="n">
        <v>6.023573462243803e-08</v>
      </c>
      <c r="U12" t="n">
        <v>1538.2</v>
      </c>
    </row>
    <row r="13">
      <c r="A13" t="inlineStr">
        <is>
          <t>87.6_20-08-2026_19-56-56.webp</t>
        </is>
      </c>
      <c r="B13" t="inlineStr">
        <is>
          <t>не уверен</t>
        </is>
      </c>
      <c r="C13" t="inlineStr">
        <is>
          <t>leto-shardone-2023-suhoe-beloe</t>
        </is>
      </c>
      <c r="D13" t="inlineStr">
        <is>
          <t>LETO Шардоне 2023 сухое белое — LETO — Белое сухое</t>
        </is>
      </c>
      <c r="E13" t="inlineStr">
        <is>
          <t>есть такое, но на фото черная этикетка вместо белой</t>
        </is>
      </c>
      <c r="F13" t="inlineStr">
        <is>
          <t>vinodelnya-konstantina-dzitoeva-kd-shardone-beloe-suhoe-128</t>
        </is>
      </c>
      <c r="G13" t="inlineStr">
        <is>
          <t>vinodelnya-uzunov-shardone-rezerv-beloe-suhoe-135</t>
        </is>
      </c>
      <c r="H13" t="inlineStr">
        <is>
          <t>vinodelnya-uzunov-nrav-rezerv-krasnostop-zolotovskiy-krasnoe-suhoe-139</t>
        </is>
      </c>
      <c r="I13" t="inlineStr">
        <is>
          <t>vinodelnya-uzunov-rash-rezerv-risling-reynskiy-beloe-suhoe-127</t>
        </is>
      </c>
      <c r="J13" t="inlineStr">
        <is>
          <t>vinodelnya-vedernikov-tsimlyanskiy-chernyy-rezerv-krasnoe-suhoe-145</t>
        </is>
      </c>
      <c r="K13">
        <f>IF(C13="","",IFERROR(MATCH(C13,F13:J13,0),"нет"))</f>
        <v/>
      </c>
      <c r="L13">
        <f>IF(C13="","",IF(K13=1,1,0))</f>
        <v/>
      </c>
      <c r="M13">
        <f>IF(C13="","",IF(ISNUMBER(K13),1,0))</f>
        <v/>
      </c>
      <c r="N13" t="inlineStr">
        <is>
          <t>KD Шардоне — Винодельня Константина Дзитоева — Белое сухое</t>
        </is>
      </c>
      <c r="O13" t="inlineStr">
        <is>
          <t>Шардоне Резерв — Винодельня Узунов — Белое сухое</t>
        </is>
      </c>
      <c r="P13" t="inlineStr">
        <is>
          <t>Нрав Резерв — Винодельня Узунов — Красное сухое</t>
        </is>
      </c>
      <c r="Q13" t="inlineStr">
        <is>
          <t>РАШ Резерв — Винодельня Узунов — Белое сухое</t>
        </is>
      </c>
      <c r="R13" t="inlineStr">
        <is>
          <t>Цимлянский Черный Резерв — Ведерниковъ — Красное сухое</t>
        </is>
      </c>
      <c r="S13" s="3" t="n">
        <v>0.999165415763855</v>
      </c>
      <c r="T13" s="3" t="n">
        <v>6.956493962206878e-06</v>
      </c>
      <c r="U13" t="n">
        <v>1333</v>
      </c>
    </row>
    <row r="14">
      <c r="A14" t="inlineStr">
        <is>
          <t>87.81_09-09-2026_17-16-36.webp</t>
        </is>
      </c>
      <c r="B14" t="inlineStr">
        <is>
          <t>не уверен</t>
        </is>
      </c>
      <c r="C14" t="inlineStr">
        <is>
          <t>aya-organic-wine-vineyards-purity-in-chenin-blanc-shenen-blan-beloe-suhoe-11</t>
        </is>
      </c>
      <c r="D14" t="inlineStr">
        <is>
          <t>Purity in Chenin Blanc — AYA Organic Wine &amp; Vineyards — Белое сухое</t>
        </is>
      </c>
      <c r="E14" t="inlineStr">
        <is>
          <t>есть похожее, но в названии вместо in balance написано in-chenin-blanc</t>
        </is>
      </c>
      <c r="F14" t="inlineStr">
        <is>
          <t>aya-organic-wine-vineyards-purity-in-chenin-blanc-shenen-blan-beloe-suhoe-11</t>
        </is>
      </c>
      <c r="G14" t="inlineStr">
        <is>
          <t>aya-organic-wine-vineyards-purity-in-syrah-sira-rozovoe-suhoe-132</t>
        </is>
      </c>
      <c r="H14" t="inlineStr">
        <is>
          <t>aya-organic-wine-vineyards-purity-in-merlot-merlo-rozovoe-suhoe-134</t>
        </is>
      </c>
      <c r="I14" t="inlineStr">
        <is>
          <t>aya-organic-wine-vineyards-purity-in-syrah-sira-krasnoe-suhoe-146</t>
        </is>
      </c>
      <c r="J14" t="inlineStr">
        <is>
          <t>aya-organic-wine-vineyards-purity-in-trinity-pino-nuar-rozovoe-suhoe-13</t>
        </is>
      </c>
      <c r="K14">
        <f>IF(C14="","",IFERROR(MATCH(C14,F14:J14,0),"нет"))</f>
        <v/>
      </c>
      <c r="L14">
        <f>IF(C14="","",IF(K14=1,1,0))</f>
        <v/>
      </c>
      <c r="M14">
        <f>IF(C14="","",IF(ISNUMBER(K14),1,0))</f>
        <v/>
      </c>
      <c r="N14" t="inlineStr">
        <is>
          <t>Purity in Chenin Blanc — AYA Organic Wine &amp; Vineyards — Белое сухое</t>
        </is>
      </c>
      <c r="O14" t="inlineStr">
        <is>
          <t>Purity in Syrah — AYA Organic Wine &amp; Vineyards — Розовое сухое</t>
        </is>
      </c>
      <c r="P14" t="inlineStr">
        <is>
          <t>Purity in Merlot — AYA Organic Wine &amp; Vineyards — Розовое сухое</t>
        </is>
      </c>
      <c r="Q14" t="inlineStr">
        <is>
          <t>Purity in Syrah — AYA Organic Wine &amp; Vineyards — Красное сухое</t>
        </is>
      </c>
      <c r="R14" t="inlineStr">
        <is>
          <t>Purity in Trinity — AYA Organic Wine &amp; Vineyards — Розовое сухое</t>
        </is>
      </c>
      <c r="S14" s="3" t="n">
        <v>0.3206150233745575</v>
      </c>
      <c r="T14" s="3" t="n">
        <v>0.678741991519928</v>
      </c>
      <c r="U14" t="n">
        <v>924.9</v>
      </c>
    </row>
    <row r="15">
      <c r="A15" t="inlineStr">
        <is>
          <t>87.88_28-08-2026_16-56-20.webp</t>
        </is>
      </c>
      <c r="B15" t="inlineStr">
        <is>
          <t>не уверен</t>
        </is>
      </c>
      <c r="C15" t="inlineStr">
        <is>
          <t>massandra-muskatel-belyy-belye-sorta-vinograda-beloe-sladkoe-16</t>
        </is>
      </c>
      <c r="D15" t="inlineStr">
        <is>
          <t>Мускатель белый — Массандра — Белое сладкое</t>
        </is>
      </c>
      <c r="E15" t="inlineStr">
        <is>
          <t>есть такое, но год урожая отличается</t>
        </is>
      </c>
      <c r="F15" t="inlineStr">
        <is>
          <t>massandra-muskatel-belyy-belye-sorta-vinograda-beloe-sladkoe-16</t>
        </is>
      </c>
      <c r="G15" t="inlineStr">
        <is>
          <t>massandra-muskatel-rozovyy-belye-sorta-vinograda-rozovoe-sladkoe-16</t>
        </is>
      </c>
      <c r="H15" t="inlineStr">
        <is>
          <t>massandra-muskat-belyy-yuzhnoberezhnyy-beloe-sladkoe-16</t>
        </is>
      </c>
      <c r="I15" t="inlineStr">
        <is>
          <t>massandra-muskatel-chernyy-krasnye-sorta-vinograda-krasnoe-sladkoe-16</t>
        </is>
      </c>
      <c r="J15" t="inlineStr">
        <is>
          <t>massandra-muskat</t>
        </is>
      </c>
      <c r="K15">
        <f>IF(C15="","",IFERROR(MATCH(C15,F15:J15,0),"нет"))</f>
        <v/>
      </c>
      <c r="L15">
        <f>IF(C15="","",IF(K15=1,1,0))</f>
        <v/>
      </c>
      <c r="M15">
        <f>IF(C15="","",IF(ISNUMBER(K15),1,0))</f>
        <v/>
      </c>
      <c r="N15" t="inlineStr">
        <is>
          <t>Мускатель белый — Массандра — Белое сладкое</t>
        </is>
      </c>
      <c r="O15" t="inlineStr">
        <is>
          <t>Мускатель розовый — Массандра — Розовое сладкое</t>
        </is>
      </c>
      <c r="P15" t="inlineStr">
        <is>
          <t>Мускат Белый Южнобережный — Массандра — Белое сладкое</t>
        </is>
      </c>
      <c r="Q15" t="inlineStr">
        <is>
          <t>Мускатель черный — Массандра — Красное сладкое</t>
        </is>
      </c>
      <c r="R15" t="inlineStr">
        <is>
          <t>Массандра Мускат — Массандра — Белое сухое</t>
        </is>
      </c>
      <c r="S15" s="3" t="n">
        <v>0.9999979734420776</v>
      </c>
      <c r="T15" s="3" t="n">
        <v>5.714996405004058e-07</v>
      </c>
      <c r="U15" t="n">
        <v>1052.7</v>
      </c>
    </row>
    <row r="16">
      <c r="A16" t="inlineStr">
        <is>
          <t>88.2_05-09-2026_16-29-06.webp</t>
        </is>
      </c>
      <c r="B16" t="inlineStr">
        <is>
          <t>нет в каталоге</t>
        </is>
      </c>
      <c r="F16" t="inlineStr">
        <is>
          <t>kuban-vino-kaberne-de-tamane-kaberne-sovinon-krasnoe-suhoe-125</t>
        </is>
      </c>
      <c r="G16" t="inlineStr">
        <is>
          <t>inkerman-shato-ruzh</t>
        </is>
      </c>
      <c r="H16" t="inlineStr">
        <is>
          <t>inkerman-shato-blan</t>
        </is>
      </c>
      <c r="I16" t="inlineStr">
        <is>
          <t>vinodelnya-begildeeva-kaberne-sovinon-krasnoe-suhoe-14</t>
        </is>
      </c>
      <c r="J16" t="inlineStr">
        <is>
          <t>inkermanskiy-zmv-winemakers-selection-saperavi-krasnoe-polusladkoe-12</t>
        </is>
      </c>
      <c r="K16">
        <f>IF(C16="","",IFERROR(MATCH(C16,F16:J16,0),"нет"))</f>
        <v/>
      </c>
      <c r="L16">
        <f>IF(C16="","",IF(K16=1,1,0))</f>
        <v/>
      </c>
      <c r="M16">
        <f>IF(C16="","",IF(ISNUMBER(K16),1,0))</f>
        <v/>
      </c>
      <c r="N16" t="inlineStr">
        <is>
          <t>Каберне де Тамань — Кубань-Вино — Красное сухое</t>
        </is>
      </c>
      <c r="O16" t="inlineStr">
        <is>
          <t>Inkerman Шато Руж — Инкерманский ЗМВ — Красное полусухое</t>
        </is>
      </c>
      <c r="P16" t="inlineStr">
        <is>
          <t>Инкерман Шато Блан — Инкерманский ЗМВ — Белое полусухое</t>
        </is>
      </c>
      <c r="Q16" t="inlineStr">
        <is>
          <t>Каберне Совиньон — Винодельня Бегильдеева — Красное сухое</t>
        </is>
      </c>
      <c r="R16" t="inlineStr">
        <is>
          <t>Winemaker's Selection Саперави — Инкерманский ЗМВ — Красное полусладкое</t>
        </is>
      </c>
      <c r="S16" s="3" t="n">
        <v>0.9406161904335022</v>
      </c>
      <c r="T16" s="3" t="n">
        <v>0.003392391838133335</v>
      </c>
      <c r="U16" t="n">
        <v>965.9</v>
      </c>
    </row>
    <row r="17">
      <c r="A17" t="inlineStr">
        <is>
          <t>88.38_20-08-2026_18-32-58.webp</t>
        </is>
      </c>
      <c r="B17" t="inlineStr">
        <is>
          <t>уверенно</t>
        </is>
      </c>
      <c r="C17" t="inlineStr">
        <is>
          <t>czitronnyj-magaracha-sovinon-blan</t>
        </is>
      </c>
      <c r="D17" t="inlineStr">
        <is>
          <t>Жемчужная 9 Цитрон, Совиньон блан — АРАТТИ — Белое полусухое</t>
        </is>
      </c>
      <c r="F17" t="inlineStr">
        <is>
          <t>czitronnyj-magaracha-sovinon-blan</t>
        </is>
      </c>
      <c r="G17" t="inlineStr">
        <is>
          <t>zhemchuzhnaya-9-czitron-shardone-1</t>
        </is>
      </c>
      <c r="H17" t="inlineStr">
        <is>
          <t>zhemchuzhnaya-9-aligote-czitron</t>
        </is>
      </c>
      <c r="I17" t="inlineStr">
        <is>
          <t>zhemchuzhnaya-9-czitron-shardone</t>
        </is>
      </c>
      <c r="J17" t="inlineStr">
        <is>
          <t>zhemchuzhnaya-9-sovinon-blan-aligote</t>
        </is>
      </c>
      <c r="K17">
        <f>IF(C17="","",IFERROR(MATCH(C17,F17:J17,0),"нет"))</f>
        <v/>
      </c>
      <c r="L17">
        <f>IF(C17="","",IF(K17=1,1,0))</f>
        <v/>
      </c>
      <c r="M17">
        <f>IF(C17="","",IF(ISNUMBER(K17),1,0))</f>
        <v/>
      </c>
      <c r="N17" t="inlineStr">
        <is>
          <t>Жемчужная 9 Цитрон, Совиньон блан — АРАТТИ — Белое полусухое</t>
        </is>
      </c>
      <c r="O17" t="inlineStr">
        <is>
          <t>Жемчужная 9 Цитрон, Шардоне — АРАТТИ — Белое полусладкое</t>
        </is>
      </c>
      <c r="P17" t="inlineStr">
        <is>
          <t>Жемчужная 9 Алиготе, Цитрон — АРАТТИ — Белое сухое</t>
        </is>
      </c>
      <c r="Q17" t="inlineStr">
        <is>
          <t>Жемчужная 9 Цитрон, Шардоне — АРАТТИ — Белое сухое</t>
        </is>
      </c>
      <c r="R17" t="inlineStr">
        <is>
          <t>Жемчужная 9 Совиньон блан, Алиготе — АРАТТИ — Белое сухое</t>
        </is>
      </c>
      <c r="S17" s="3" t="n">
        <v>0.9999755620956421</v>
      </c>
      <c r="T17" s="3" t="n">
        <v>3.653392965929925e-08</v>
      </c>
      <c r="U17" t="n">
        <v>904.4</v>
      </c>
    </row>
    <row r="18">
      <c r="A18" t="inlineStr">
        <is>
          <t>89.65_19-08-2026_19-48-39.webp</t>
        </is>
      </c>
      <c r="B18" t="inlineStr">
        <is>
          <t>уверенно</t>
        </is>
      </c>
      <c r="C18" t="inlineStr">
        <is>
          <t>rozovoe-zoloto</t>
        </is>
      </c>
      <c r="D18" t="inlineStr">
        <is>
          <t>Розовое золото — Табия — Розовое полусухое</t>
        </is>
      </c>
      <c r="F18" t="inlineStr">
        <is>
          <t>rozovoe-zoloto</t>
        </is>
      </c>
      <c r="G18" t="inlineStr">
        <is>
          <t>bukovinka</t>
        </is>
      </c>
      <c r="H18" t="inlineStr">
        <is>
          <t>roze-2</t>
        </is>
      </c>
      <c r="I18" t="inlineStr">
        <is>
          <t>rubin-golodrigi</t>
        </is>
      </c>
      <c r="J18" t="inlineStr">
        <is>
          <t>oleg</t>
        </is>
      </c>
      <c r="K18">
        <f>IF(C18="","",IFERROR(MATCH(C18,F18:J18,0),"нет"))</f>
        <v/>
      </c>
      <c r="L18">
        <f>IF(C18="","",IF(K18=1,1,0))</f>
        <v/>
      </c>
      <c r="M18">
        <f>IF(C18="","",IF(ISNUMBER(K18),1,0))</f>
        <v/>
      </c>
      <c r="N18" t="inlineStr">
        <is>
          <t>Розовое золото — Табия — Розовое полусухое</t>
        </is>
      </c>
      <c r="O18" t="inlineStr">
        <is>
          <t>Буковинка — Табия — Белое полусухое</t>
        </is>
      </c>
      <c r="P18" t="inlineStr">
        <is>
          <t>Розе — Табия — Розовое сухое</t>
        </is>
      </c>
      <c r="Q18" t="inlineStr">
        <is>
          <t>Рубин Голодриги  — Табия — Красное сухое</t>
        </is>
      </c>
      <c r="R18" t="inlineStr">
        <is>
          <t>Олег — Табия — Белое сухое</t>
        </is>
      </c>
      <c r="S18" s="3" t="n">
        <v>0.9999997615814209</v>
      </c>
      <c r="T18" s="3" t="n">
        <v>1.444980028963982e-07</v>
      </c>
      <c r="U18" t="n">
        <v>718.5</v>
      </c>
    </row>
    <row r="19">
      <c r="A19" t="inlineStr">
        <is>
          <t>90.5_02-09-2026_10-32-11.webp</t>
        </is>
      </c>
      <c r="B19" t="inlineStr">
        <is>
          <t>нет в каталоге</t>
        </is>
      </c>
      <c r="F19" t="inlineStr">
        <is>
          <t>inkerman-shato-ruzh</t>
        </is>
      </c>
      <c r="G19" t="inlineStr">
        <is>
          <t>inkermanskiy-zmv-inkerman-rozovoe-polusladkoe-rkatsiteli-12</t>
        </is>
      </c>
      <c r="H19" t="inlineStr">
        <is>
          <t>inkerman-muskatnoe-beloe</t>
        </is>
      </c>
      <c r="I19" t="inlineStr">
        <is>
          <t>inkerman-shato-blan</t>
        </is>
      </c>
      <c r="J19" t="inlineStr">
        <is>
          <t>inkermanskiy-zmv-inkerman-bryut-shardone-beloe-135</t>
        </is>
      </c>
      <c r="K19">
        <f>IF(C19="","",IFERROR(MATCH(C19,F19:J19,0),"нет"))</f>
        <v/>
      </c>
      <c r="L19">
        <f>IF(C19="","",IF(K19=1,1,0))</f>
        <v/>
      </c>
      <c r="M19">
        <f>IF(C19="","",IF(ISNUMBER(K19),1,0))</f>
        <v/>
      </c>
      <c r="N19" t="inlineStr">
        <is>
          <t>Inkerman Шато Руж — Инкерманский ЗМВ — Красное полусухое</t>
        </is>
      </c>
      <c r="O19" t="inlineStr">
        <is>
          <t>Инкерман Розовое полусладкое — Инкерманский ЗМВ — Розовое полусладкое</t>
        </is>
      </c>
      <c r="P19" t="inlineStr">
        <is>
          <t>Inkerman Мускатное белое — Инкерманский ЗМВ — Белое полусладкое</t>
        </is>
      </c>
      <c r="Q19" t="inlineStr">
        <is>
          <t>Инкерман Шато Блан — Инкерманский ЗМВ — Белое полусухое</t>
        </is>
      </c>
      <c r="R19" t="inlineStr">
        <is>
          <t>Inkerman брют — Инкерманский ЗМВ — Белое брют</t>
        </is>
      </c>
      <c r="S19" s="3" t="n">
        <v>0.8174729347229004</v>
      </c>
      <c r="T19" s="3" t="n">
        <v>2.688472250156337e-06</v>
      </c>
      <c r="U19" t="n">
        <v>1016.1</v>
      </c>
    </row>
    <row r="20">
      <c r="A20" t="inlineStr">
        <is>
          <t>91.07_20-08-2026_18-37-46.webp</t>
        </is>
      </c>
      <c r="B20" t="inlineStr">
        <is>
          <t>уверенно</t>
        </is>
      </c>
      <c r="C20" t="inlineStr">
        <is>
          <t>aratti-kaberne-sovinon-2021-krasnoe-suhoe</t>
        </is>
      </c>
      <c r="D20" t="inlineStr">
        <is>
          <t>АРАТТИ Каберне Совиньон 2021 красное сухое — АРАТТИ — Красное сухое</t>
        </is>
      </c>
      <c r="F20" t="inlineStr">
        <is>
          <t>aratti-kaberne-sovinon-2021-krasnoe-suhoe</t>
        </is>
      </c>
      <c r="G20" t="inlineStr">
        <is>
          <t>aratti-kaberne-sovinon-2020-krasnoe-suhoe</t>
        </is>
      </c>
      <c r="H20" t="inlineStr">
        <is>
          <t>aratti-kaberne-po-belomu</t>
        </is>
      </c>
      <c r="I20" t="inlineStr">
        <is>
          <t>aratti-sovinon-blan-beloe-polusuhoe</t>
        </is>
      </c>
      <c r="J20" t="inlineStr">
        <is>
          <t>aratti-kaberne-po-belomu-1</t>
        </is>
      </c>
      <c r="K20">
        <f>IF(C20="","",IFERROR(MATCH(C20,F20:J20,0),"нет"))</f>
        <v/>
      </c>
      <c r="L20">
        <f>IF(C20="","",IF(K20=1,1,0))</f>
        <v/>
      </c>
      <c r="M20">
        <f>IF(C20="","",IF(ISNUMBER(K20),1,0))</f>
        <v/>
      </c>
      <c r="N20" t="inlineStr">
        <is>
          <t>АРАТТИ Каберне Совиньон 2021 красное сухое — АРАТТИ — Красное сухое</t>
        </is>
      </c>
      <c r="O20" t="inlineStr">
        <is>
          <t>АРАТТИ Каберне Совиньон 2020 красное сухое — АРАТТИ — Красное сухое</t>
        </is>
      </c>
      <c r="P20" t="inlineStr">
        <is>
          <t>АРАТТИ Каберне по-белому — АРАТТИ — Красное сухое</t>
        </is>
      </c>
      <c r="Q20" t="inlineStr">
        <is>
          <t>АРАТТИ Совиньон блан белое полусухое — АРАТТИ — Белое полусухое</t>
        </is>
      </c>
      <c r="R20" t="inlineStr">
        <is>
          <t>АРАТТИ Каберне по-белому — АРАТТИ — Розовое полусухое</t>
        </is>
      </c>
      <c r="S20" s="3" t="n">
        <v>0.9999991655349731</v>
      </c>
      <c r="T20" s="3" t="n">
        <v>1.855389939464658e-07</v>
      </c>
      <c r="U20" t="n">
        <v>824.5</v>
      </c>
    </row>
    <row r="21">
      <c r="A21" t="inlineStr">
        <is>
          <t>91.43_02-09-2026_12-08-50.webp</t>
        </is>
      </c>
      <c r="B21" t="inlineStr">
        <is>
          <t>уверенно</t>
        </is>
      </c>
      <c r="C21" t="inlineStr">
        <is>
          <t>merlo-2</t>
        </is>
      </c>
      <c r="D21" t="inlineStr">
        <is>
          <t>Мерло — Литавщук. Litavshchuk vineyards &amp; winery — Красное сухое</t>
        </is>
      </c>
      <c r="F21" t="inlineStr">
        <is>
          <t>merlo-2</t>
        </is>
      </c>
      <c r="G21" t="inlineStr">
        <is>
          <t>vinodelnya-begildeeva-merlo-krasnoe-suhoe-14</t>
        </is>
      </c>
      <c r="H21" t="inlineStr">
        <is>
          <t>vinodelnya-begildeeva-kaberne-sovinon-merlo-krasnoe-suhoe-14</t>
        </is>
      </c>
      <c r="I21" t="inlineStr">
        <is>
          <t>merlo</t>
        </is>
      </c>
      <c r="J21" t="inlineStr">
        <is>
          <t>vinodelnya-batrak-merlo-rozovoe-suhoe-13</t>
        </is>
      </c>
      <c r="K21">
        <f>IF(C21="","",IFERROR(MATCH(C21,F21:J21,0),"нет"))</f>
        <v/>
      </c>
      <c r="L21">
        <f>IF(C21="","",IF(K21=1,1,0))</f>
        <v/>
      </c>
      <c r="M21">
        <f>IF(C21="","",IF(ISNUMBER(K21),1,0))</f>
        <v/>
      </c>
      <c r="N21" t="inlineStr">
        <is>
          <t>Мерло — Литавщук. Litavshchuk vineyards &amp; winery — Красное сухое</t>
        </is>
      </c>
      <c r="O21" t="inlineStr">
        <is>
          <t>Мерло — Винодельня Бегильдеева — Красное сухое</t>
        </is>
      </c>
      <c r="P21" t="inlineStr">
        <is>
          <t>Каберне Совиньон – Мерло — Винодельня Бегильдеева — Красное сухое</t>
        </is>
      </c>
      <c r="Q21" t="inlineStr">
        <is>
          <t>Мерло — Галицкий и Галицкий — Красное сухое</t>
        </is>
      </c>
      <c r="R21" t="inlineStr">
        <is>
          <t>Мерло — Винодельня Батрак — Розовое сухое</t>
        </is>
      </c>
      <c r="S21" s="3" t="n">
        <v>0.9999997615814209</v>
      </c>
      <c r="T21" s="3" t="n">
        <v>7.734419682492444e-08</v>
      </c>
      <c r="U21" t="n">
        <v>1263.3</v>
      </c>
    </row>
    <row r="22">
      <c r="A22" t="inlineStr">
        <is>
          <t>92.21_19-08-2026_18-57-31.webp</t>
        </is>
      </c>
      <c r="B22" t="inlineStr">
        <is>
          <t>уверенно</t>
        </is>
      </c>
      <c r="C22" t="inlineStr">
        <is>
          <t>belaya-lvicza</t>
        </is>
      </c>
      <c r="D22" t="inlineStr">
        <is>
          <t>Белая Львица белое полусладкое — АРАТТИ — Белое полусладкое</t>
        </is>
      </c>
      <c r="F22" t="inlineStr">
        <is>
          <t>belaya-lvicza</t>
        </is>
      </c>
      <c r="G22" t="inlineStr">
        <is>
          <t>chernaya-lvicza-polusladkoe-krasnoe</t>
        </is>
      </c>
      <c r="H22" t="inlineStr">
        <is>
          <t>aratti-muskat-belyj-suhoe</t>
        </is>
      </c>
      <c r="I22" t="inlineStr">
        <is>
          <t>rozovaya-pantera</t>
        </is>
      </c>
      <c r="J22" t="inlineStr">
        <is>
          <t>aratti-muskat-belyj-polusuhoe</t>
        </is>
      </c>
      <c r="K22">
        <f>IF(C22="","",IFERROR(MATCH(C22,F22:J22,0),"нет"))</f>
        <v/>
      </c>
      <c r="L22">
        <f>IF(C22="","",IF(K22=1,1,0))</f>
        <v/>
      </c>
      <c r="M22">
        <f>IF(C22="","",IF(ISNUMBER(K22),1,0))</f>
        <v/>
      </c>
      <c r="N22" t="inlineStr">
        <is>
          <t>Белая Львица белое полусладкое — АРАТТИ — Белое полусладкое</t>
        </is>
      </c>
      <c r="O22" t="inlineStr">
        <is>
          <t>Черная Львица полусладкое красное — АРАТТИ — Красное полусладкое</t>
        </is>
      </c>
      <c r="P22" t="inlineStr">
        <is>
          <t>АРАТТИ Мускат белый сухое — АРАТТИ — Белое сухое</t>
        </is>
      </c>
      <c r="Q22" t="inlineStr">
        <is>
          <t>Розовая Пантера полусладкое розовое — АРАТТИ — Розовое полусладкое</t>
        </is>
      </c>
      <c r="R22" t="inlineStr">
        <is>
          <t>АРАТТИ Мускат белый полусухое — АРАТТИ — Белое полусухое</t>
        </is>
      </c>
      <c r="S22" s="3" t="n">
        <v>0.9999998807907104</v>
      </c>
      <c r="T22" s="3" t="n">
        <v>3.224186428951725e-08</v>
      </c>
      <c r="U22" t="n">
        <v>823.7</v>
      </c>
    </row>
    <row r="23">
      <c r="A23" t="inlineStr">
        <is>
          <t>92.6_07-09-2026_11-04-40.webp</t>
        </is>
      </c>
      <c r="B23" t="inlineStr">
        <is>
          <t>уверенно</t>
        </is>
      </c>
      <c r="C23" t="inlineStr">
        <is>
          <t>aratti-kaberne-sovinon-2020-krasnoe-suhoe</t>
        </is>
      </c>
      <c r="D23" t="inlineStr">
        <is>
          <t>АРАТТИ Каберне Совиньон 2020 красное сухое — АРАТТИ — Красное сухое</t>
        </is>
      </c>
      <c r="F23" t="inlineStr">
        <is>
          <t>aratti-kaberne-sovinon-2020-krasnoe-suhoe</t>
        </is>
      </c>
      <c r="G23" t="inlineStr">
        <is>
          <t>aratti-kaberne-sovinon-2021-krasnoe-suhoe</t>
        </is>
      </c>
      <c r="H23" t="inlineStr">
        <is>
          <t>artvin-kaberne-sovinon-grand-rezerv-krasnoe-suhoe-13</t>
        </is>
      </c>
      <c r="I23" t="inlineStr">
        <is>
          <t>vinodelnya-begildeeva-kaberne-sovinon-krasnoe-suhoe-14</t>
        </is>
      </c>
      <c r="J23" t="inlineStr">
        <is>
          <t>aratti-sovinon-blan-beloe-polusuhoe</t>
        </is>
      </c>
      <c r="K23">
        <f>IF(C23="","",IFERROR(MATCH(C23,F23:J23,0),"нет"))</f>
        <v/>
      </c>
      <c r="L23">
        <f>IF(C23="","",IF(K23=1,1,0))</f>
        <v/>
      </c>
      <c r="M23">
        <f>IF(C23="","",IF(ISNUMBER(K23),1,0))</f>
        <v/>
      </c>
      <c r="N23" t="inlineStr">
        <is>
          <t>АРАТТИ Каберне Совиньон 2020 красное сухое — АРАТТИ — Красное сухое</t>
        </is>
      </c>
      <c r="O23" t="inlineStr">
        <is>
          <t>АРАТТИ Каберне Совиньон 2021 красное сухое — АРАТТИ — Красное сухое</t>
        </is>
      </c>
      <c r="P23" t="inlineStr">
        <is>
          <t>Каберне Совиньон Гранд Резерв — Артвин — Красное сухое</t>
        </is>
      </c>
      <c r="Q23" t="inlineStr">
        <is>
          <t>Каберне Совиньон — Винодельня Бегильдеева — Красное сухое</t>
        </is>
      </c>
      <c r="R23" t="inlineStr">
        <is>
          <t>АРАТТИ Совиньон блан белое полусухое — АРАТТИ — Белое полусухое</t>
        </is>
      </c>
      <c r="S23" s="3" t="n">
        <v>0.9999996423721313</v>
      </c>
      <c r="T23" s="3" t="n">
        <v>4.69116265833236e-08</v>
      </c>
      <c r="U23" t="n">
        <v>881.4</v>
      </c>
    </row>
    <row r="24">
      <c r="A24" t="inlineStr">
        <is>
          <t>92.94_21-08-2026_19-37-08.webp</t>
        </is>
      </c>
      <c r="B24" t="inlineStr">
        <is>
          <t>не уверен</t>
        </is>
      </c>
      <c r="C24" t="inlineStr">
        <is>
          <t>denisov-winery-sovinon-blan-beloe-suhoe-115</t>
        </is>
      </c>
      <c r="D24" t="inlineStr">
        <is>
          <t>Совиньон Блан — Denisov Winery — Белое сухое</t>
        </is>
      </c>
      <c r="E24" t="inlineStr">
        <is>
          <t>есть такое, но этикетка черная, а не белая</t>
        </is>
      </c>
      <c r="F24" t="inlineStr">
        <is>
          <t>denisov-winery-sovinon-blan-beloe-suhoe-115</t>
        </is>
      </c>
      <c r="G24" t="inlineStr">
        <is>
          <t>dubinin-winery-sovinon-blan-beloe-suhoe-12</t>
        </is>
      </c>
      <c r="H24" t="inlineStr">
        <is>
          <t>zhemchuzhnaya-9-sovinon-blan-aligote</t>
        </is>
      </c>
      <c r="I24" t="inlineStr">
        <is>
          <t>sovinon-blan</t>
        </is>
      </c>
      <c r="J24" t="inlineStr">
        <is>
          <t>blagolyubov-sovinon-blan-beloe-suhoe-125</t>
        </is>
      </c>
      <c r="K24">
        <f>IF(C24="","",IFERROR(MATCH(C24,F24:J24,0),"нет"))</f>
        <v/>
      </c>
      <c r="L24">
        <f>IF(C24="","",IF(K24=1,1,0))</f>
        <v/>
      </c>
      <c r="M24">
        <f>IF(C24="","",IF(ISNUMBER(K24),1,0))</f>
        <v/>
      </c>
      <c r="N24" t="inlineStr">
        <is>
          <t>Совиньон Блан — Denisov Winery — Белое сухое</t>
        </is>
      </c>
      <c r="O24" t="inlineStr">
        <is>
          <t>Совиньон Блан — Dubinin Winery — Белое сухое</t>
        </is>
      </c>
      <c r="P24" t="inlineStr">
        <is>
          <t>Жемчужная 9 Совиньон блан, Алиготе — АРАТТИ — Белое сухое</t>
        </is>
      </c>
      <c r="Q24" t="inlineStr">
        <is>
          <t>Совиньон Блан — Литавщук. Litavshchuk vineyards &amp; winery — Белое полусладкое</t>
        </is>
      </c>
      <c r="R24" t="inlineStr">
        <is>
          <t>Совиньон Блан — Благолюбов — Белое сухое</t>
        </is>
      </c>
      <c r="S24" s="3" t="n">
        <v>0.9999997615814209</v>
      </c>
      <c r="T24" s="3" t="n">
        <v>1.275190300020768e-07</v>
      </c>
      <c r="U24" t="n">
        <v>1199.2</v>
      </c>
    </row>
    <row r="25">
      <c r="A25" t="inlineStr">
        <is>
          <t>92.96_19-08-2026_21-07-12.webp</t>
        </is>
      </c>
      <c r="B25" t="inlineStr">
        <is>
          <t>уверенно</t>
        </is>
      </c>
      <c r="C25" t="inlineStr">
        <is>
          <t>aratti-kaberne-sovinon-2020-krasnoe-suhoe</t>
        </is>
      </c>
      <c r="D25" t="inlineStr">
        <is>
          <t>АРАТТИ Каберне Совиньон 2020 красное сухое — АРАТТИ — Красное сухое</t>
        </is>
      </c>
      <c r="F25" t="inlineStr">
        <is>
          <t>aratti-kaberne-sovinon-2020-krasnoe-suhoe</t>
        </is>
      </c>
      <c r="G25" t="inlineStr">
        <is>
          <t>aratti-kaberne-sovinon-2021-krasnoe-suhoe</t>
        </is>
      </c>
      <c r="H25" t="inlineStr">
        <is>
          <t>artvin-kaberne-sovinon-grand-rezerv-krasnoe-suhoe-13</t>
        </is>
      </c>
      <c r="I25" t="inlineStr">
        <is>
          <t>vinodelnya-begildeeva-kaberne-sovinon-krasnoe-suhoe-14</t>
        </is>
      </c>
      <c r="J25" t="inlineStr">
        <is>
          <t>aratti-vremena-goda-saperavi-leto</t>
        </is>
      </c>
      <c r="K25">
        <f>IF(C25="","",IFERROR(MATCH(C25,F25:J25,0),"нет"))</f>
        <v/>
      </c>
      <c r="L25">
        <f>IF(C25="","",IF(K25=1,1,0))</f>
        <v/>
      </c>
      <c r="M25">
        <f>IF(C25="","",IF(ISNUMBER(K25),1,0))</f>
        <v/>
      </c>
      <c r="N25" t="inlineStr">
        <is>
          <t>АРАТТИ Каберне Совиньон 2020 красное сухое — АРАТТИ — Красное сухое</t>
        </is>
      </c>
      <c r="O25" t="inlineStr">
        <is>
          <t>АРАТТИ Каберне Совиньон 2021 красное сухое — АРАТТИ — Красное сухое</t>
        </is>
      </c>
      <c r="P25" t="inlineStr">
        <is>
          <t>Каберне Совиньон Гранд Резерв — Артвин — Красное сухое</t>
        </is>
      </c>
      <c r="Q25" t="inlineStr">
        <is>
          <t>Каберне Совиньон — Винодельня Бегильдеева — Красное сухое</t>
        </is>
      </c>
      <c r="R25" t="inlineStr">
        <is>
          <t>АРАТТИ Времена Года Саперави Лето — АРАТТИ — Красное сухое</t>
        </is>
      </c>
      <c r="S25" s="3" t="n">
        <v>0.9999997615814209</v>
      </c>
      <c r="T25" s="3" t="n">
        <v>5.315784079584773e-08</v>
      </c>
      <c r="U25" t="n">
        <v>916.4</v>
      </c>
    </row>
    <row r="26">
      <c r="A26" t="inlineStr">
        <is>
          <t>92.99_02-09-2026_04-20-19.webp</t>
        </is>
      </c>
      <c r="B26" t="inlineStr">
        <is>
          <t>нет в каталоге</t>
        </is>
      </c>
      <c r="F26" t="inlineStr">
        <is>
          <t>mont-blanc-blanc-de-blancs</t>
        </is>
      </c>
      <c r="G26" t="inlineStr">
        <is>
          <t>vinodelnya-myshako-rose-de-noirs-pino-nuar-rozovoe-bryut-123</t>
        </is>
      </c>
      <c r="H26" t="inlineStr">
        <is>
          <t>kuban-vino-vysokiy-bereg-grafit-roze-kaberne-sovinon-rozovoe-suhoe-12</t>
        </is>
      </c>
      <c r="I26" t="inlineStr">
        <is>
          <t>rozovaya-pantera</t>
        </is>
      </c>
      <c r="J26" t="inlineStr">
        <is>
          <t>usadba-divnomorskoe-rose-vione-rozovoe-suhoe-125</t>
        </is>
      </c>
      <c r="K26">
        <f>IF(C26="","",IFERROR(MATCH(C26,F26:J26,0),"нет"))</f>
        <v/>
      </c>
      <c r="L26">
        <f>IF(C26="","",IF(K26=1,1,0))</f>
        <v/>
      </c>
      <c r="M26">
        <f>IF(C26="","",IF(ISNUMBER(K26),1,0))</f>
        <v/>
      </c>
      <c r="N26" t="inlineStr">
        <is>
          <t>Mont Blanc, Blanc de Blancs — Шато АЛВИСА — Белое брют</t>
        </is>
      </c>
      <c r="O26" t="inlineStr">
        <is>
          <t>Rose De Noirs — Мысхако — Розовое брют</t>
        </is>
      </c>
      <c r="P26" t="inlineStr">
        <is>
          <t>Высокий Берег Графит Розе — Кубань-Вино — Розовое сухое</t>
        </is>
      </c>
      <c r="Q26" t="inlineStr">
        <is>
          <t>Розовая Пантера полусладкое розовое — АРАТТИ — Розовое полусладкое</t>
        </is>
      </c>
      <c r="R26" t="inlineStr">
        <is>
          <t>Rose — Усадьба Дивноморское — Розовое сухое</t>
        </is>
      </c>
      <c r="S26" s="3" t="n">
        <v>0.973984956741333</v>
      </c>
      <c r="T26" s="3" t="n">
        <v>0.02021441236138344</v>
      </c>
      <c r="U26" t="n">
        <v>1075.1</v>
      </c>
    </row>
    <row r="27">
      <c r="A27" t="inlineStr">
        <is>
          <t>93.31_05-09-2026_13-39-37.webp</t>
        </is>
      </c>
      <c r="B27" t="inlineStr">
        <is>
          <t>уверенно</t>
        </is>
      </c>
      <c r="C27" t="inlineStr">
        <is>
          <t>golubitskoe-estate-noble-selection-red-blend-kaberne-sovinon-krasnoe-suhoe-136</t>
        </is>
      </c>
      <c r="D27" t="inlineStr">
        <is>
          <t>Noble Selection Red Blend — Golubitskoe Estate — Красное сухое</t>
        </is>
      </c>
      <c r="F27" t="inlineStr">
        <is>
          <t>golubitskoe-estate-noble-selection-red-blend-kaberne-sovinon-krasnoe-suhoe-136</t>
        </is>
      </c>
      <c r="G27" t="inlineStr">
        <is>
          <t>golubitskoe-estate-kaberne-sovinon-noble-selection-krasnoe-suhoe-133</t>
        </is>
      </c>
      <c r="H27" t="inlineStr">
        <is>
          <t>golubitskoe-estate-kaberne-sovinon-rezerv-krasnoe-suhoe-125</t>
        </is>
      </c>
      <c r="I27" t="inlineStr">
        <is>
          <t>golubitskoe-estate-noble-selection-white-blend-shardone-beloe-suhoe-135</t>
        </is>
      </c>
      <c r="J27" t="inlineStr">
        <is>
          <t>pomeste-golubitskoe-kaberne-sovinon-rezerv-krasnoe-suhoe-143</t>
        </is>
      </c>
      <c r="K27">
        <f>IF(C27="","",IFERROR(MATCH(C27,F27:J27,0),"нет"))</f>
        <v/>
      </c>
      <c r="L27">
        <f>IF(C27="","",IF(K27=1,1,0))</f>
        <v/>
      </c>
      <c r="M27">
        <f>IF(C27="","",IF(ISNUMBER(K27),1,0))</f>
        <v/>
      </c>
      <c r="N27" t="inlineStr">
        <is>
          <t>Noble Selection Red Blend — Golubitskoe Estate — Красное сухое</t>
        </is>
      </c>
      <c r="O27" t="inlineStr">
        <is>
          <t>Каберне Совиньон Noble Selection — Golubitskoe Estate — Красное сухое</t>
        </is>
      </c>
      <c r="P27" t="inlineStr">
        <is>
          <t>Каберне Совиньон Резерв — Golubitskoe Estate — Красное сухое</t>
        </is>
      </c>
      <c r="Q27" t="inlineStr">
        <is>
          <t>Noble Selection White Blend — Golubitskoe Estate — Белое сухое</t>
        </is>
      </c>
      <c r="R27" t="inlineStr">
        <is>
          <t>Каберне Совиньон Резерв — Golubitskoe Estate — Красное сухое</t>
        </is>
      </c>
      <c r="S27" s="3" t="n">
        <v>0.9999990463256836</v>
      </c>
      <c r="T27" s="3" t="n">
        <v>3.927859779651044e-07</v>
      </c>
      <c r="U27" t="n">
        <v>1147.8</v>
      </c>
    </row>
    <row r="28">
      <c r="A28" t="inlineStr">
        <is>
          <t>93.43_05-09-2026_13-34-45.webp</t>
        </is>
      </c>
      <c r="B28" t="inlineStr">
        <is>
          <t>уверенно</t>
        </is>
      </c>
      <c r="C28" t="inlineStr">
        <is>
          <t>denisov_pet_nat_rubin</t>
        </is>
      </c>
      <c r="D28" t="inlineStr">
        <is>
          <t>Пет-Нат Рубин — Denisov Winery — Розовое экстра брют</t>
        </is>
      </c>
      <c r="F28" t="inlineStr">
        <is>
          <t>denisov_pet_nat_rubin</t>
        </is>
      </c>
      <c r="G28" t="inlineStr">
        <is>
          <t>denisov-winery-petnat-risling-beloe-ekstra-bryut-10</t>
        </is>
      </c>
      <c r="H28" t="inlineStr">
        <is>
          <t>denisov-winery-petnat-tsitron-risling-tsitronnyy-magaracha-beloe-ekstra-bryut-102</t>
        </is>
      </c>
      <c r="I28" t="inlineStr">
        <is>
          <t>fioletovyj-rannij-petnat</t>
        </is>
      </c>
      <c r="J28" t="inlineStr">
        <is>
          <t>denisov-winery-petnat-rkatsiteli-beloe-ekstra-bryut-107</t>
        </is>
      </c>
      <c r="K28">
        <f>IF(C28="","",IFERROR(MATCH(C28,F28:J28,0),"нет"))</f>
        <v/>
      </c>
      <c r="L28">
        <f>IF(C28="","",IF(K28=1,1,0))</f>
        <v/>
      </c>
      <c r="M28">
        <f>IF(C28="","",IF(ISNUMBER(K28),1,0))</f>
        <v/>
      </c>
      <c r="N28" t="inlineStr">
        <is>
          <t>Пет-Нат Рубин — Denisov Winery — Розовое экстра брют</t>
        </is>
      </c>
      <c r="O28" t="inlineStr">
        <is>
          <t>Петнат Рислинг — Denisov Winery — Белое экстра брют</t>
        </is>
      </c>
      <c r="P28" t="inlineStr">
        <is>
          <t>Петнат Цитрон - Рислинг — Denisov Winery — Белое экстра брют</t>
        </is>
      </c>
      <c r="Q28" t="inlineStr">
        <is>
          <t>Фиолетовый Ранний петнат — Гусевъ — Белое экстра брют</t>
        </is>
      </c>
      <c r="R28" t="inlineStr">
        <is>
          <t>Петнат Ркацители — Denisov Winery — Белое экстра брют</t>
        </is>
      </c>
      <c r="S28" s="3" t="n">
        <v>1</v>
      </c>
      <c r="T28" s="3" t="n">
        <v>7.194133289090132e-09</v>
      </c>
      <c r="U28" t="n">
        <v>1009.3</v>
      </c>
    </row>
    <row r="29">
      <c r="A29" t="inlineStr">
        <is>
          <t>93.68_19-08-2026_20-44-28.webp</t>
        </is>
      </c>
      <c r="B29" t="inlineStr">
        <is>
          <t>уверенно</t>
        </is>
      </c>
      <c r="C29" t="inlineStr">
        <is>
          <t>zakat-denisov-vajneri</t>
        </is>
      </c>
      <c r="D29" t="inlineStr">
        <is>
          <t>Закат. Денисов Вайнери — Denisov Winery — Розовое сухое</t>
        </is>
      </c>
      <c r="F29" t="inlineStr">
        <is>
          <t>zakat-denisov-vajneri</t>
        </is>
      </c>
      <c r="G29" t="inlineStr">
        <is>
          <t>zhemchuzhnaya-9-pino-nuar-muskat-rozovyj</t>
        </is>
      </c>
      <c r="H29" t="inlineStr">
        <is>
          <t>rozovaya-pantera</t>
        </is>
      </c>
      <c r="I29" t="inlineStr">
        <is>
          <t>vinodelnya-78-muskat-polusladkoe-muskat-ottonel-beloe-115</t>
        </is>
      </c>
      <c r="J29" t="inlineStr">
        <is>
          <t>zhemchuzhnaya-9-pino-nuar-muskat-rozovyj-1</t>
        </is>
      </c>
      <c r="K29">
        <f>IF(C29="","",IFERROR(MATCH(C29,F29:J29,0),"нет"))</f>
        <v/>
      </c>
      <c r="L29">
        <f>IF(C29="","",IF(K29=1,1,0))</f>
        <v/>
      </c>
      <c r="M29">
        <f>IF(C29="","",IF(ISNUMBER(K29),1,0))</f>
        <v/>
      </c>
      <c r="N29" t="inlineStr">
        <is>
          <t>Закат. Денисов Вайнери — Denisov Winery — Розовое сухое</t>
        </is>
      </c>
      <c r="O29" t="inlineStr">
        <is>
          <t>Жемчужная 9 Пино Нуар, Мускат Розовый — АРАТТИ — Розовое сухое</t>
        </is>
      </c>
      <c r="P29" t="inlineStr">
        <is>
          <t>Розовая Пантера полусладкое розовое — АРАТТИ — Розовое полусладкое</t>
        </is>
      </c>
      <c r="Q29" t="inlineStr">
        <is>
          <t>Мускат полусладкое — Винодельня 78 — Белое полусладкое</t>
        </is>
      </c>
      <c r="R29" t="inlineStr">
        <is>
          <t>Жемчужная 9 Пино Нуар, Мускат розовый — АРАТТИ — Розовое полусухое</t>
        </is>
      </c>
      <c r="S29" s="3" t="n">
        <v>0.9999988079071045</v>
      </c>
      <c r="T29" s="3" t="n">
        <v>6.475944474004791e-07</v>
      </c>
      <c r="U29" t="n">
        <v>932.3</v>
      </c>
    </row>
    <row r="30">
      <c r="A30" t="inlineStr">
        <is>
          <t>93.84_02-09-2026_17-13-04.webp</t>
        </is>
      </c>
      <c r="B30" t="inlineStr">
        <is>
          <t>уверенно</t>
        </is>
      </c>
      <c r="C30" t="inlineStr">
        <is>
          <t>zakat-denisov-vajneri</t>
        </is>
      </c>
      <c r="D30" t="inlineStr">
        <is>
          <t>Закат. Денисов Вайнери — Denisov Winery — Розовое сухое</t>
        </is>
      </c>
      <c r="F30" t="inlineStr">
        <is>
          <t>zakat-denisov-vajneri</t>
        </is>
      </c>
      <c r="G30" t="inlineStr">
        <is>
          <t>vinodelnya-78-muskat-polusladkoe-muskat-ottonel-beloe-115</t>
        </is>
      </c>
      <c r="H30" t="inlineStr">
        <is>
          <t>rozovaya-pantera</t>
        </is>
      </c>
      <c r="I30" t="inlineStr">
        <is>
          <t>zhemchuzhnaya-9-pino-nuar-muskat-rozovyj</t>
        </is>
      </c>
      <c r="J30" t="inlineStr">
        <is>
          <t>vinodelnya-vedernikov-tsimlyanskiy-chernyy-rozovyy-rozovoe-suhoe-125</t>
        </is>
      </c>
      <c r="K30">
        <f>IF(C30="","",IFERROR(MATCH(C30,F30:J30,0),"нет"))</f>
        <v/>
      </c>
      <c r="L30">
        <f>IF(C30="","",IF(K30=1,1,0))</f>
        <v/>
      </c>
      <c r="M30">
        <f>IF(C30="","",IF(ISNUMBER(K30),1,0))</f>
        <v/>
      </c>
      <c r="N30" t="inlineStr">
        <is>
          <t>Закат. Денисов Вайнери — Denisov Winery — Розовое сухое</t>
        </is>
      </c>
      <c r="O30" t="inlineStr">
        <is>
          <t>Мускат полусладкое — Винодельня 78 — Белое полусладкое</t>
        </is>
      </c>
      <c r="P30" t="inlineStr">
        <is>
          <t>Розовая Пантера полусладкое розовое — АРАТТИ — Розовое полусладкое</t>
        </is>
      </c>
      <c r="Q30" t="inlineStr">
        <is>
          <t>Жемчужная 9 Пино Нуар, Мускат Розовый — АРАТТИ — Розовое сухое</t>
        </is>
      </c>
      <c r="R30" t="inlineStr">
        <is>
          <t>Цимлянский Черный розовый — Ведерниковъ — Розовое сухое</t>
        </is>
      </c>
      <c r="S30" s="3" t="n">
        <v>1</v>
      </c>
      <c r="T30" s="3" t="n">
        <v>3.224186784223093e-08</v>
      </c>
      <c r="U30" t="n">
        <v>831.1</v>
      </c>
    </row>
    <row r="31">
      <c r="A31" t="inlineStr">
        <is>
          <t>93.95_05-09-2026_15-29-36.webp</t>
        </is>
      </c>
      <c r="B31" t="inlineStr">
        <is>
          <t>нет в каталоге</t>
        </is>
      </c>
      <c r="F31" t="inlineStr">
        <is>
          <t>novyy-svet-dom-shampanskih-vin-igristoe-vino-vyderzhannoe-polusladkoe-rozovoe-novyy-svet-pino-fran-135</t>
        </is>
      </c>
      <c r="G31" t="inlineStr">
        <is>
          <t>valeriy-zaharin-aligote-burlyuk-beloe-bryut-115</t>
        </is>
      </c>
      <c r="H31" t="inlineStr">
        <is>
          <t>abrau-dyurso-imperial-kyuve-pino-nuar-rozovoe-bryut-125</t>
        </is>
      </c>
      <c r="I31" t="inlineStr">
        <is>
          <t>rozovoe-bryut-1</t>
        </is>
      </c>
      <c r="J31" t="inlineStr">
        <is>
          <t>valeriy-zaharin-aligote-avtorskoe-valeriy-zaharin-beloe-bryut-115</t>
        </is>
      </c>
      <c r="K31">
        <f>IF(C31="","",IFERROR(MATCH(C31,F31:J31,0),"нет"))</f>
        <v/>
      </c>
      <c r="L31">
        <f>IF(C31="","",IF(K31=1,1,0))</f>
        <v/>
      </c>
      <c r="M31">
        <f>IF(C31="","",IF(ISNUMBER(K31),1,0))</f>
        <v/>
      </c>
      <c r="N31" t="inlineStr">
        <is>
          <t>Игристое вино выдержанное полусладкое розовое «Новый Свет. Пино Фран» — Новый Свет. Дом шампанских вин — Розовое полусладкое</t>
        </is>
      </c>
      <c r="O31" t="inlineStr">
        <is>
          <t>Алиготе. Бурлюк — Валерий Захарьин — Белое брют</t>
        </is>
      </c>
      <c r="P31" t="inlineStr">
        <is>
          <t>Империал Кюве — Абрау-Дюрсо — Розовое брют</t>
        </is>
      </c>
      <c r="Q31" t="inlineStr">
        <is>
          <t>Розовое брют — Золотая Балка — Розовое брют</t>
        </is>
      </c>
      <c r="R31" t="inlineStr">
        <is>
          <t>Алиготе. Авторское. Валерий Захарьин — Валерий Захарьин — Белое брют</t>
        </is>
      </c>
      <c r="S31" s="3" t="n">
        <v>0.0227607898414135</v>
      </c>
      <c r="T31" s="3" t="n">
        <v>0.9678134322166443</v>
      </c>
      <c r="U31" t="n">
        <v>1166.1</v>
      </c>
    </row>
    <row r="32">
      <c r="A32" t="inlineStr">
        <is>
          <t>93.97_28-08-2026_16-02-48.webp</t>
        </is>
      </c>
      <c r="B32" t="inlineStr">
        <is>
          <t>нет в каталоге</t>
        </is>
      </c>
      <c r="F32" t="inlineStr">
        <is>
          <t>golubitskoe-estate-chardonnay</t>
        </is>
      </c>
      <c r="G32" t="inlineStr">
        <is>
          <t>golubitskoe-estate-shardone-rezerv-beloe-suhoe-135</t>
        </is>
      </c>
      <c r="H32" t="inlineStr">
        <is>
          <t>golubitskoe-estate-sovinon-blan-beloe-suhoe-11</t>
        </is>
      </c>
      <c r="I32" t="inlineStr">
        <is>
          <t>golubitskoe-estate-shardone-noble-selection-barrel-touch-beloe-suhoe-135</t>
        </is>
      </c>
      <c r="J32" t="inlineStr">
        <is>
          <t>pomeste-golubitskoe-shardone-rezerv-beloe-suhoe-132</t>
        </is>
      </c>
      <c r="K32">
        <f>IF(C32="","",IFERROR(MATCH(C32,F32:J32,0),"нет"))</f>
        <v/>
      </c>
      <c r="L32">
        <f>IF(C32="","",IF(K32=1,1,0))</f>
        <v/>
      </c>
      <c r="M32">
        <f>IF(C32="","",IF(ISNUMBER(K32),1,0))</f>
        <v/>
      </c>
      <c r="N32" t="inlineStr">
        <is>
          <t>Golubitskoe Estate Chardonnay — Поместье Голубицкое — Белое сухое</t>
        </is>
      </c>
      <c r="O32" t="inlineStr">
        <is>
          <t>Шардоне Резерв — Golubitskoe Estate — Белое сухое</t>
        </is>
      </c>
      <c r="P32" t="inlineStr">
        <is>
          <t>Совиньон Блан — Golubitskoe Estate — Белое сухое</t>
        </is>
      </c>
      <c r="Q32" t="inlineStr">
        <is>
          <t>Шардоне Noble Selection Barrel Touch — Golubitskoe Estate — Белое сухое</t>
        </is>
      </c>
      <c r="R32" t="inlineStr">
        <is>
          <t>Шардоне Резерв — Golubitskoe Estate — Белое сухое</t>
        </is>
      </c>
      <c r="S32" s="3" t="n">
        <v>0.9999988079071045</v>
      </c>
      <c r="T32" s="3" t="n">
        <v>3.466323335032939e-07</v>
      </c>
      <c r="U32" t="n">
        <v>1101.3</v>
      </c>
    </row>
    <row r="33">
      <c r="A33" t="inlineStr">
        <is>
          <t>94.02_24-08-2026_17-46-57.webp</t>
        </is>
      </c>
      <c r="B33" t="inlineStr">
        <is>
          <t>уверенно</t>
        </is>
      </c>
      <c r="C33" t="inlineStr">
        <is>
          <t>rubin-golodrigi</t>
        </is>
      </c>
      <c r="D33" t="inlineStr">
        <is>
          <t>Рубин Голодриги  — Табия — Красное сухое</t>
        </is>
      </c>
      <c r="F33" t="inlineStr">
        <is>
          <t>rubin-golodrigi</t>
        </is>
      </c>
      <c r="G33" t="inlineStr">
        <is>
          <t>kaberne-sovinon-2</t>
        </is>
      </c>
      <c r="H33" t="inlineStr">
        <is>
          <t>bukovinka</t>
        </is>
      </c>
      <c r="I33" t="inlineStr">
        <is>
          <t>oleg</t>
        </is>
      </c>
      <c r="J33" t="inlineStr">
        <is>
          <t>roze-2</t>
        </is>
      </c>
      <c r="K33">
        <f>IF(C33="","",IFERROR(MATCH(C33,F33:J33,0),"нет"))</f>
        <v/>
      </c>
      <c r="L33">
        <f>IF(C33="","",IF(K33=1,1,0))</f>
        <v/>
      </c>
      <c r="M33">
        <f>IF(C33="","",IF(ISNUMBER(K33),1,0))</f>
        <v/>
      </c>
      <c r="N33" t="inlineStr">
        <is>
          <t>Рубин Голодриги  — Табия — Красное сухое</t>
        </is>
      </c>
      <c r="O33" t="inlineStr">
        <is>
          <t>Каберне Совиньон — Табия — Красное сухое</t>
        </is>
      </c>
      <c r="P33" t="inlineStr">
        <is>
          <t>Буковинка — Табия — Белое полусухое</t>
        </is>
      </c>
      <c r="Q33" t="inlineStr">
        <is>
          <t>Олег — Табия — Белое сухое</t>
        </is>
      </c>
      <c r="R33" t="inlineStr">
        <is>
          <t>Розе — Табия — Розовое сухое</t>
        </is>
      </c>
      <c r="S33" s="3" t="n">
        <v>1</v>
      </c>
      <c r="T33" s="3" t="n">
        <v>3.224186784223093e-08</v>
      </c>
      <c r="U33" t="n">
        <v>794</v>
      </c>
    </row>
    <row r="34">
      <c r="A34" t="inlineStr">
        <is>
          <t>94.43_05-09-2026_15-29-25.webp</t>
        </is>
      </c>
      <c r="B34" t="inlineStr">
        <is>
          <t>нет в каталоге</t>
        </is>
      </c>
      <c r="F34" t="inlineStr">
        <is>
          <t>rozovoe-bryut-1</t>
        </is>
      </c>
      <c r="G34" t="inlineStr">
        <is>
          <t>novyy-svet-dom-shampanskih-vin-igristoe-vino-vyderzhannoe-polusladkoe-rozovoe-novyy-svet-pino-fran-135</t>
        </is>
      </c>
      <c r="H34" t="inlineStr">
        <is>
          <t>vinodelnya-78-muskat-polusladkoe-muskat-ottonel-beloe-115</t>
        </is>
      </c>
      <c r="I34" t="inlineStr">
        <is>
          <t>balaklava-bryut-rezerv</t>
        </is>
      </c>
      <c r="J34" t="inlineStr">
        <is>
          <t>valeriy-zaharin-aligote-avtorskoe-valeriy-zaharin-beloe-bryut-115</t>
        </is>
      </c>
      <c r="K34">
        <f>IF(C34="","",IFERROR(MATCH(C34,F34:J34,0),"нет"))</f>
        <v/>
      </c>
      <c r="L34">
        <f>IF(C34="","",IF(K34=1,1,0))</f>
        <v/>
      </c>
      <c r="M34">
        <f>IF(C34="","",IF(ISNUMBER(K34),1,0))</f>
        <v/>
      </c>
      <c r="N34" t="inlineStr">
        <is>
          <t>Розовое брют — Золотая Балка — Розовое брют</t>
        </is>
      </c>
      <c r="O34" t="inlineStr">
        <is>
          <t>Игристое вино выдержанное полусладкое розовое «Новый Свет. Пино Фран» — Новый Свет. Дом шампанских вин — Розовое полусладкое</t>
        </is>
      </c>
      <c r="P34" t="inlineStr">
        <is>
          <t>Мускат полусладкое — Винодельня 78 — Белое полусладкое</t>
        </is>
      </c>
      <c r="Q34" t="inlineStr">
        <is>
          <t>Балаклава Брют Резерв — Золотая Балка — Белое брют</t>
        </is>
      </c>
      <c r="R34" t="inlineStr">
        <is>
          <t>Алиготе. Авторское. Валерий Захарьин — Валерий Захарьин — Белое брют</t>
        </is>
      </c>
      <c r="S34" s="3" t="n">
        <v>0.9999619722366333</v>
      </c>
      <c r="T34" s="3" t="n">
        <v>3.12017000396736e-05</v>
      </c>
      <c r="U34" t="n">
        <v>1245.8</v>
      </c>
    </row>
    <row r="35">
      <c r="A35" t="inlineStr">
        <is>
          <t>94.55_02-09-2026_16-53-08.webp</t>
        </is>
      </c>
      <c r="B35" t="inlineStr">
        <is>
          <t>уверенно</t>
        </is>
      </c>
      <c r="C35" t="inlineStr">
        <is>
          <t>denisov_pazori_risling</t>
        </is>
      </c>
      <c r="D35" t="inlineStr">
        <is>
          <t>Пазори Рислинг — Denisov Winery — Белое брют</t>
        </is>
      </c>
      <c r="F35" t="inlineStr">
        <is>
          <t>denisov_pazori_risling</t>
        </is>
      </c>
      <c r="G35" t="inlineStr">
        <is>
          <t>denisov-winery-pino-nuar-shardone-ekstra-bryut-beloe-125</t>
        </is>
      </c>
      <c r="H35" t="inlineStr">
        <is>
          <t>vinodelnya-zhakov-saperavi-vyderzhannoe-krasnoe-suhoe-115</t>
        </is>
      </c>
      <c r="I35" t="inlineStr">
        <is>
          <t>vinodelnya-uzunov-nrav-krasnostop-zolotovskiy-krasnoe-suhoe-132</t>
        </is>
      </c>
      <c r="J35" t="inlineStr">
        <is>
          <t>usadba-aleksandrovskaya-bubnovyy-valet-kaberne-sovinon-krasnoe-polusladkoe-13</t>
        </is>
      </c>
      <c r="K35">
        <f>IF(C35="","",IFERROR(MATCH(C35,F35:J35,0),"нет"))</f>
        <v/>
      </c>
      <c r="L35">
        <f>IF(C35="","",IF(K35=1,1,0))</f>
        <v/>
      </c>
      <c r="M35">
        <f>IF(C35="","",IF(ISNUMBER(K35),1,0))</f>
        <v/>
      </c>
      <c r="N35" t="inlineStr">
        <is>
          <t>Пазори Рислинг — Denisov Winery — Белое брют</t>
        </is>
      </c>
      <c r="O35" t="inlineStr">
        <is>
          <t>Пино Нуар - Шардоне экстра брют — Denisov Winery — Белое экстра брют</t>
        </is>
      </c>
      <c r="P35" t="inlineStr">
        <is>
          <t>Саперави выдержанное — Винодельня Жаков — Красное сухое</t>
        </is>
      </c>
      <c r="Q35" t="inlineStr">
        <is>
          <t>Нрав — Винодельня Узунов — Красное сухое</t>
        </is>
      </c>
      <c r="R35" t="inlineStr">
        <is>
          <t>Бубновый Валет — Усадьба Александровская — Красное полусладкое</t>
        </is>
      </c>
      <c r="S35" s="3" t="n">
        <v>0.9999278783798218</v>
      </c>
      <c r="T35" s="3" t="n">
        <v>5.144115129951388e-05</v>
      </c>
      <c r="U35" t="n">
        <v>1545.5</v>
      </c>
    </row>
    <row r="36">
      <c r="A36" t="inlineStr">
        <is>
          <t>94.72_21-08-2026_15-41-48.webp</t>
        </is>
      </c>
      <c r="B36" t="inlineStr">
        <is>
          <t>не уверен</t>
        </is>
      </c>
      <c r="C36" t="inlineStr">
        <is>
          <t>derbent-vino-desono-kaberne-sovinon-krasnoe-suhoe-125</t>
        </is>
      </c>
      <c r="D36" t="inlineStr">
        <is>
          <t>Дэсоно Каберне Совиньон — Дербент Вино — Красное сухое</t>
        </is>
      </c>
      <c r="E36" t="inlineStr">
        <is>
          <t>есть такое, но надпись внизу несоответствует, она больше. но фактически одно и то же</t>
        </is>
      </c>
      <c r="F36" t="inlineStr">
        <is>
          <t>derbent-vino-desono-kaberne-sovinon-krasnoe-suhoe-125</t>
        </is>
      </c>
      <c r="G36" t="inlineStr">
        <is>
          <t>derbent-vino-desono-kaberne-fran-krasnoe-suhoe-125</t>
        </is>
      </c>
      <c r="H36" t="inlineStr">
        <is>
          <t>derbent-vino-desono-merlo-krasnoe-suhoe-125</t>
        </is>
      </c>
      <c r="I36" t="inlineStr">
        <is>
          <t>derbent-vino-desono-risling-beloe-suhoe-125</t>
        </is>
      </c>
      <c r="J36" t="inlineStr">
        <is>
          <t>derbent-vino-desono-shardone-beloe-suhoe-125</t>
        </is>
      </c>
      <c r="K36">
        <f>IF(C36="","",IFERROR(MATCH(C36,F36:J36,0),"нет"))</f>
        <v/>
      </c>
      <c r="L36">
        <f>IF(C36="","",IF(K36=1,1,0))</f>
        <v/>
      </c>
      <c r="M36">
        <f>IF(C36="","",IF(ISNUMBER(K36),1,0))</f>
        <v/>
      </c>
      <c r="N36" t="inlineStr">
        <is>
          <t>Дэсоно Каберне Совиньон — Дербент Вино — Красное сухое</t>
        </is>
      </c>
      <c r="O36" t="inlineStr">
        <is>
          <t>Дэсоно Каберне Фран — Дербент Вино — Красное сухое</t>
        </is>
      </c>
      <c r="P36" t="inlineStr">
        <is>
          <t>Дэсоно Мерло — Дербент Вино — Красное сухое</t>
        </is>
      </c>
      <c r="Q36" t="inlineStr">
        <is>
          <t>Дэсоно Рислинг — Дербент Вино — Белое сухое</t>
        </is>
      </c>
      <c r="R36" t="inlineStr">
        <is>
          <t>Дэсоно Шардоне — Дербент Вино — Белое сухое</t>
        </is>
      </c>
      <c r="S36" s="3" t="n">
        <v>0.9999998807907104</v>
      </c>
      <c r="T36" s="3" t="n">
        <v>6.023573462243803e-08</v>
      </c>
      <c r="U36" t="n">
        <v>963.3</v>
      </c>
    </row>
    <row r="37">
      <c r="A37" t="inlineStr">
        <is>
          <t>94.7_25-08-2026_15-52-07.webp</t>
        </is>
      </c>
      <c r="B37" t="inlineStr">
        <is>
          <t>уверенно</t>
        </is>
      </c>
      <c r="C37" t="inlineStr">
        <is>
          <t>czitronnyj-magaracha-sovinon-blan</t>
        </is>
      </c>
      <c r="D37" t="inlineStr">
        <is>
          <t>Жемчужная 9 Цитрон, Совиньон блан — АРАТТИ — Белое полусухое</t>
        </is>
      </c>
      <c r="F37" t="inlineStr">
        <is>
          <t>czitronnyj-magaracha-sovinon-blan</t>
        </is>
      </c>
      <c r="G37" t="inlineStr">
        <is>
          <t>zhemchuzhnaya-9-czitron-shardone-1</t>
        </is>
      </c>
      <c r="H37" t="inlineStr">
        <is>
          <t>zhemchuzhnaya-9-aligote-czitron</t>
        </is>
      </c>
      <c r="I37" t="inlineStr">
        <is>
          <t>zhemchuzhnaya-9-czitron-shardone</t>
        </is>
      </c>
      <c r="J37" t="inlineStr">
        <is>
          <t>zhemchuzhnaya-9-sovinon-blan-aligote</t>
        </is>
      </c>
      <c r="K37">
        <f>IF(C37="","",IFERROR(MATCH(C37,F37:J37,0),"нет"))</f>
        <v/>
      </c>
      <c r="L37">
        <f>IF(C37="","",IF(K37=1,1,0))</f>
        <v/>
      </c>
      <c r="M37">
        <f>IF(C37="","",IF(ISNUMBER(K37),1,0))</f>
        <v/>
      </c>
      <c r="N37" t="inlineStr">
        <is>
          <t>Жемчужная 9 Цитрон, Совиньон блан — АРАТТИ — Белое полусухое</t>
        </is>
      </c>
      <c r="O37" t="inlineStr">
        <is>
          <t>Жемчужная 9 Цитрон, Шардоне — АРАТТИ — Белое полусладкое</t>
        </is>
      </c>
      <c r="P37" t="inlineStr">
        <is>
          <t>Жемчужная 9 Алиготе, Цитрон — АРАТТИ — Белое сухое</t>
        </is>
      </c>
      <c r="Q37" t="inlineStr">
        <is>
          <t>Жемчужная 9 Цитрон, Шардоне — АРАТТИ — Белое сухое</t>
        </is>
      </c>
      <c r="R37" t="inlineStr">
        <is>
          <t>Жемчужная 9 Совиньон блан, Алиготе — АРАТТИ — Белое сухое</t>
        </is>
      </c>
      <c r="S37" s="3" t="n">
        <v>0.9999998807907104</v>
      </c>
      <c r="T37" s="3" t="n">
        <v>2.845334456935689e-08</v>
      </c>
      <c r="U37" t="n">
        <v>909.6</v>
      </c>
    </row>
    <row r="38">
      <c r="A38" t="inlineStr">
        <is>
          <t>94.83_27-08-2026_14-29-28.webp</t>
        </is>
      </c>
      <c r="B38" t="inlineStr">
        <is>
          <t>нет в каталоге</t>
        </is>
      </c>
      <c r="F38" t="inlineStr">
        <is>
          <t>shato-pino-sovinon-blan-semilon-beloe-suhoe-115</t>
        </is>
      </c>
      <c r="G38" t="inlineStr">
        <is>
          <t>shato-pino-aligote-rkatsiteli-beloe-suhoe-12</t>
        </is>
      </c>
      <c r="H38" t="inlineStr">
        <is>
          <t>shato-pino-gravitatsiya-kaberne-sovinon-merlo-krasnoe-suhoe-135</t>
        </is>
      </c>
      <c r="I38" t="inlineStr">
        <is>
          <t>shato-pino-marselan-merlo-krasnoe-suhoe-13</t>
        </is>
      </c>
      <c r="J38" t="inlineStr">
        <is>
          <t>shato-pino-shardone-beloe-suhoe-125</t>
        </is>
      </c>
      <c r="K38">
        <f>IF(C38="","",IFERROR(MATCH(C38,F38:J38,0),"нет"))</f>
        <v/>
      </c>
      <c r="L38">
        <f>IF(C38="","",IF(K38=1,1,0))</f>
        <v/>
      </c>
      <c r="M38">
        <f>IF(C38="","",IF(ISNUMBER(K38),1,0))</f>
        <v/>
      </c>
      <c r="N38" t="inlineStr">
        <is>
          <t>Совиньон Блан - Семильон — Шато Пино — Белое сухое</t>
        </is>
      </c>
      <c r="O38" t="inlineStr">
        <is>
          <t>Алиготе - Ркацители белое сухое — Шато Пино — Белое сухое</t>
        </is>
      </c>
      <c r="P38" t="inlineStr">
        <is>
          <t>Гравитация. Каберне Совиньон - Мерло — Шато Пино — Красное сухое</t>
        </is>
      </c>
      <c r="Q38" t="inlineStr">
        <is>
          <t>Марселан - Мерло — Шато Пино — Красное сухое</t>
        </is>
      </c>
      <c r="R38" t="inlineStr">
        <is>
          <t>Шардоне — Шато Пино — Белое сухое</t>
        </is>
      </c>
      <c r="S38" s="3" t="n">
        <v>0.7790169715881348</v>
      </c>
      <c r="T38" s="3" t="n">
        <v>0.06394560635089874</v>
      </c>
      <c r="U38" t="n">
        <v>948.3</v>
      </c>
    </row>
    <row r="39">
      <c r="A39" t="inlineStr">
        <is>
          <t>94.8_01-09-2026_10-10-02.webp</t>
        </is>
      </c>
      <c r="B39" t="inlineStr">
        <is>
          <t>нет в каталоге</t>
        </is>
      </c>
      <c r="F39" t="inlineStr">
        <is>
          <t>massandra-portveyn-krasnyy-alushta-krasnye-sorta-vinograda-krasnoe-sladkoe-17</t>
        </is>
      </c>
      <c r="G39" t="inlineStr">
        <is>
          <t>vinodelnya-pokrovskaya-pokrovskoe-sladkoe-krasnoe-kaberne-sovinon-13</t>
        </is>
      </c>
      <c r="H39" t="inlineStr">
        <is>
          <t>massandra-muskat-belyy-yuzhnoberezhnyy-beloe-sladkoe-16</t>
        </is>
      </c>
      <c r="I39" t="inlineStr">
        <is>
          <t>kaberne-sovinon</t>
        </is>
      </c>
      <c r="J39" t="inlineStr">
        <is>
          <t>massandra-portveyn-krasnyy-livadiya-kaberne-sovinon-krasnoe-sladkoe-185</t>
        </is>
      </c>
      <c r="K39">
        <f>IF(C39="","",IFERROR(MATCH(C39,F39:J39,0),"нет"))</f>
        <v/>
      </c>
      <c r="L39">
        <f>IF(C39="","",IF(K39=1,1,0))</f>
        <v/>
      </c>
      <c r="M39">
        <f>IF(C39="","",IF(ISNUMBER(K39),1,0))</f>
        <v/>
      </c>
      <c r="N39" t="inlineStr">
        <is>
          <t>Портвейн красный Алушта — Массандра — Красное сладкое</t>
        </is>
      </c>
      <c r="O39" t="inlineStr">
        <is>
          <t>Покровское сладкое красное — Винодельня Покровская — Красное сладкое</t>
        </is>
      </c>
      <c r="P39" t="inlineStr">
        <is>
          <t>Мускат Белый Южнобережный — Массандра — Белое сладкое</t>
        </is>
      </c>
      <c r="Q39" t="inlineStr">
        <is>
          <t>Каберне Совиньон — Массандра — Красное сладкое</t>
        </is>
      </c>
      <c r="R39" t="inlineStr">
        <is>
          <t>Портвейн красный Ливадия — Массандра — Красное сладкое</t>
        </is>
      </c>
      <c r="S39" s="3" t="n">
        <v>0.0002957926189992577</v>
      </c>
      <c r="T39" s="3" t="n">
        <v>0.9991483688354492</v>
      </c>
      <c r="U39" t="n">
        <v>1135.2</v>
      </c>
    </row>
    <row r="40">
      <c r="A40" t="inlineStr">
        <is>
          <t>94.94_05-09-2026_15-04-50.webp</t>
        </is>
      </c>
      <c r="B40" t="inlineStr">
        <is>
          <t>не уверен</t>
        </is>
      </c>
      <c r="C40" t="inlineStr">
        <is>
          <t>denisov-winery-sovinon-blan-beloe-suhoe-115</t>
        </is>
      </c>
      <c r="D40" t="inlineStr">
        <is>
          <t>Совиньон Блан — Denisov Winery — Белое сухое</t>
        </is>
      </c>
      <c r="E40" t="inlineStr">
        <is>
          <t>этикетка немного другая. в slug черная, а на фото белая</t>
        </is>
      </c>
      <c r="F40" t="inlineStr">
        <is>
          <t>denisov-winery-sovinon-blan-beloe-suhoe-115</t>
        </is>
      </c>
      <c r="G40" t="inlineStr">
        <is>
          <t>dubinin-winery-sovinon-blan-beloe-suhoe-12</t>
        </is>
      </c>
      <c r="H40" t="inlineStr">
        <is>
          <t>zhemchuzhnaya-9-sovinon-blan-aligote</t>
        </is>
      </c>
      <c r="I40" t="inlineStr">
        <is>
          <t>imenie-sikory-sovinon-blan-sikory-beloe-suhoe-13</t>
        </is>
      </c>
      <c r="J40" t="inlineStr">
        <is>
          <t>levokumskoe-sovinon-blan-beloe-suhoe-10</t>
        </is>
      </c>
      <c r="K40">
        <f>IF(C40="","",IFERROR(MATCH(C40,F40:J40,0),"нет"))</f>
        <v/>
      </c>
      <c r="L40">
        <f>IF(C40="","",IF(K40=1,1,0))</f>
        <v/>
      </c>
      <c r="M40">
        <f>IF(C40="","",IF(ISNUMBER(K40),1,0))</f>
        <v/>
      </c>
      <c r="N40" t="inlineStr">
        <is>
          <t>Совиньон Блан — Denisov Winery — Белое сухое</t>
        </is>
      </c>
      <c r="O40" t="inlineStr">
        <is>
          <t>Совиньон Блан — Dubinin Winery — Белое сухое</t>
        </is>
      </c>
      <c r="P40" t="inlineStr">
        <is>
          <t>Жемчужная 9 Совиньон блан, Алиготе — АРАТТИ — Белое сухое</t>
        </is>
      </c>
      <c r="Q40" t="inlineStr">
        <is>
          <t>Совиньон Блан Сикоры — Имение Сикоры — Белое сухое</t>
        </is>
      </c>
      <c r="R40" t="inlineStr">
        <is>
          <t>Совиньон Блан — Левокумское — Белое сухое</t>
        </is>
      </c>
      <c r="S40" s="3" t="n">
        <v>0.9999996423721313</v>
      </c>
      <c r="T40" s="3" t="n">
        <v>1.444979744746888e-07</v>
      </c>
      <c r="U40" t="n">
        <v>1122.4</v>
      </c>
    </row>
    <row r="41">
      <c r="A41" t="inlineStr">
        <is>
          <t>94.97_02-09-2026_19-01-48.webp</t>
        </is>
      </c>
      <c r="B41" t="inlineStr">
        <is>
          <t>уверенно</t>
        </is>
      </c>
      <c r="C41" t="inlineStr">
        <is>
          <t>zhemchuzhnaya-9-pino-nuar-muskat-rozovyj-2</t>
        </is>
      </c>
      <c r="D41" t="inlineStr">
        <is>
          <t>Жемчужная 9 Пино нуар, Мускат Розовый — АРАТТИ — Розовое полусладкое</t>
        </is>
      </c>
      <c r="F41" t="inlineStr">
        <is>
          <t>zhemchuzhnaya-9-pino-nuar-muskat-rozovyj-2</t>
        </is>
      </c>
      <c r="G41" t="inlineStr">
        <is>
          <t>zhemchuzhnaya-9-pino-nuar-muskat-rozovyj-1</t>
        </is>
      </c>
      <c r="H41" t="inlineStr">
        <is>
          <t>zhemchuzhnaya-9-pino-nuar-muskat-rozovyj</t>
        </is>
      </c>
      <c r="I41" t="inlineStr">
        <is>
          <t>zhemchuzhnaya-9-muskat-rozovyj-pino-gri</t>
        </is>
      </c>
      <c r="J41" t="inlineStr">
        <is>
          <t>zhemchuzhnaya-9-muskat-rozovyj-kaberne-sovinon</t>
        </is>
      </c>
      <c r="K41">
        <f>IF(C41="","",IFERROR(MATCH(C41,F41:J41,0),"нет"))</f>
        <v/>
      </c>
      <c r="L41">
        <f>IF(C41="","",IF(K41=1,1,0))</f>
        <v/>
      </c>
      <c r="M41">
        <f>IF(C41="","",IF(ISNUMBER(K41),1,0))</f>
        <v/>
      </c>
      <c r="N41" t="inlineStr">
        <is>
          <t>Жемчужная 9 Пино нуар, Мускат Розовый — АРАТТИ — Розовое полусладкое</t>
        </is>
      </c>
      <c r="O41" t="inlineStr">
        <is>
          <t>Жемчужная 9 Пино Нуар, Мускат розовый — АРАТТИ — Розовое полусухое</t>
        </is>
      </c>
      <c r="P41" t="inlineStr">
        <is>
          <t>Жемчужная 9 Пино Нуар, Мускат Розовый — АРАТТИ — Розовое сухое</t>
        </is>
      </c>
      <c r="Q41" t="inlineStr">
        <is>
          <t>Жемчужная 9 Мускат Розовый, Пино гри — АРАТТИ — Розовое сухое</t>
        </is>
      </c>
      <c r="R41" t="inlineStr">
        <is>
          <t>Жемчужная 9 Мускат Розовый, Каберне Совиньон — АРАТТИ — Розовое полусладкое</t>
        </is>
      </c>
      <c r="S41" s="3" t="n">
        <v>0.9999755620956421</v>
      </c>
      <c r="T41" s="3" t="n">
        <v>1.046714626085077e-08</v>
      </c>
      <c r="U41" t="n">
        <v>982.2</v>
      </c>
    </row>
    <row r="42">
      <c r="A42" t="inlineStr">
        <is>
          <t>95.03_04-09-2026_11-39-35.webp</t>
        </is>
      </c>
      <c r="B42" t="inlineStr">
        <is>
          <t>уверенно</t>
        </is>
      </c>
      <c r="C42" t="inlineStr">
        <is>
          <t>fanagoriya-zelyonoe-vino-risling-tsitronnyy-magaracha-beloe-polusuhoe-11</t>
        </is>
      </c>
      <c r="D42" t="inlineStr">
        <is>
          <t>Зелёное вино. Рислинг - Цитронный Магарача — Фанагория — Белое полусухое</t>
        </is>
      </c>
      <c r="F42" t="inlineStr">
        <is>
          <t>fanagoriya-zelyonoe-vino-risling-tsitronnyy-magaracha-beloe-polusuhoe-11</t>
        </is>
      </c>
      <c r="G42" t="inlineStr">
        <is>
          <t>fanagoriya-zelyonoe-vino-risling-tsitronnyy-magaracha-merlo-rozovoe-polusuhoe-11</t>
        </is>
      </c>
      <c r="H42" t="inlineStr">
        <is>
          <t>levokumskoe-beloe-rkatsiteli-suhoe-10</t>
        </is>
      </c>
      <c r="I42" t="inlineStr">
        <is>
          <t>eleonora</t>
        </is>
      </c>
      <c r="J42" t="inlineStr">
        <is>
          <t>fanagoriya-beloe-polusladkoe</t>
        </is>
      </c>
      <c r="K42">
        <f>IF(C42="","",IFERROR(MATCH(C42,F42:J42,0),"нет"))</f>
        <v/>
      </c>
      <c r="L42">
        <f>IF(C42="","",IF(K42=1,1,0))</f>
        <v/>
      </c>
      <c r="M42">
        <f>IF(C42="","",IF(ISNUMBER(K42),1,0))</f>
        <v/>
      </c>
      <c r="N42" t="inlineStr">
        <is>
          <t>Зелёное вино. Рислинг - Цитронный Магарача — Фанагория — Белое полусухое</t>
        </is>
      </c>
      <c r="O42" t="inlineStr">
        <is>
          <t>Зелёное вино. Рислинг - Цитронный Магарача - Мерло — Фанагория — Розовое полусухое</t>
        </is>
      </c>
      <c r="P42" t="inlineStr">
        <is>
          <t>Белое — Левокумское — Белое сухое</t>
        </is>
      </c>
      <c r="Q42" t="inlineStr">
        <is>
          <t>Eleonora, 2021 — WINEMAFIA — Белое сухое</t>
        </is>
      </c>
      <c r="R42" t="inlineStr">
        <is>
          <t>Фанагория белое полусладкое — Фанагория — Белое полусладкое</t>
        </is>
      </c>
      <c r="S42" s="3" t="n">
        <v>0.9999998807907104</v>
      </c>
      <c r="T42" s="3" t="n">
        <v>4.139937459513021e-08</v>
      </c>
      <c r="U42" t="n">
        <v>1187.6</v>
      </c>
    </row>
    <row r="43">
      <c r="A43" t="inlineStr">
        <is>
          <t>95.07_01-09-2026_16-15-35.webp</t>
        </is>
      </c>
      <c r="B43" t="inlineStr">
        <is>
          <t>нет в каталоге</t>
        </is>
      </c>
      <c r="F43" t="inlineStr">
        <is>
          <t>khrustaleva-76-muscat-bryut-beloe</t>
        </is>
      </c>
      <c r="G43" t="inlineStr">
        <is>
          <t>aya-khrustaleva-76-merlot-organik</t>
        </is>
      </c>
      <c r="H43" t="inlineStr">
        <is>
          <t>khrustaleva-76-merlot-polusuhoe-rozovoe</t>
        </is>
      </c>
      <c r="I43" t="inlineStr">
        <is>
          <t>khrustaleva-76-muscat-polusladkoe-beloe</t>
        </is>
      </c>
      <c r="J43" t="inlineStr">
        <is>
          <t>novyy-svet-dom-shampanskih-vin-rossiyskoe-shampanskoe-kollektsionnoe-bryut-beloe-novyy-svet-kyuve-de-prestizh-pino-gri-millezim-rozovoe-125</t>
        </is>
      </c>
      <c r="K43">
        <f>IF(C43="","",IFERROR(MATCH(C43,F43:J43,0),"нет"))</f>
        <v/>
      </c>
      <c r="L43">
        <f>IF(C43="","",IF(K43=1,1,0))</f>
        <v/>
      </c>
      <c r="M43">
        <f>IF(C43="","",IF(ISNUMBER(K43),1,0))</f>
        <v/>
      </c>
      <c r="N43" t="inlineStr">
        <is>
          <t>Khrustaleva 76 muscat, брют, белое — AYA Organic Wine &amp; Vineyards — Белое брют</t>
        </is>
      </c>
      <c r="O43" t="inlineStr">
        <is>
          <t>Aya Khrustaleva 76 merlot Органик — AYA Organic Wine &amp; Vineyards — Розовое полусухое</t>
        </is>
      </c>
      <c r="P43" t="inlineStr">
        <is>
          <t>Khrustaleva 76 merlot, полусухое, розовое — AYA Organic Wine &amp; Vineyards — Розовое полусухое</t>
        </is>
      </c>
      <c r="Q43" t="inlineStr">
        <is>
          <t>Khrustaleva 76 muscat, полусладкое, белое — AYA Organic Wine &amp; Vineyards — Белое полусладкое</t>
        </is>
      </c>
      <c r="R43" t="inlineStr">
        <is>
          <t>Российское шампанское коллекционное брют белое «Новый Свет. Кюве Де Престиж Пино Гри Миллезим» — Новый Свет. Дом шампанских вин — Розовое брют</t>
        </is>
      </c>
      <c r="S43" s="3" t="n">
        <v>0.9999420642852783</v>
      </c>
      <c r="T43" s="3" t="n">
        <v>1.300654366787057e-05</v>
      </c>
      <c r="U43" t="n">
        <v>1624.8</v>
      </c>
    </row>
    <row r="44">
      <c r="A44" t="inlineStr">
        <is>
          <t>95.17_29-08-2026_11-06-42.webp</t>
        </is>
      </c>
      <c r="B44" t="inlineStr">
        <is>
          <t>нет в каталоге</t>
        </is>
      </c>
      <c r="F44" t="inlineStr">
        <is>
          <t>golubitskoe-estate-pino-nuar-rezerv-krasnoe-suhoe-132</t>
        </is>
      </c>
      <c r="G44" t="inlineStr">
        <is>
          <t>golubitskoe-estate-winery-series-pino-nuar-rozovoe-suhoe-115</t>
        </is>
      </c>
      <c r="H44" t="inlineStr">
        <is>
          <t>golubitskoe-estate-red-blend-kaberne-sovinon-krasnoe-suhoe-136</t>
        </is>
      </c>
      <c r="I44" t="inlineStr">
        <is>
          <t>golubitskoe-estate-sovinon-blan-beloe-suhoe-11</t>
        </is>
      </c>
      <c r="J44" t="inlineStr">
        <is>
          <t>golubitskoe-estate-shardone-rezerv-beloe-suhoe-135</t>
        </is>
      </c>
      <c r="K44">
        <f>IF(C44="","",IFERROR(MATCH(C44,F44:J44,0),"нет"))</f>
        <v/>
      </c>
      <c r="L44">
        <f>IF(C44="","",IF(K44=1,1,0))</f>
        <v/>
      </c>
      <c r="M44">
        <f>IF(C44="","",IF(ISNUMBER(K44),1,0))</f>
        <v/>
      </c>
      <c r="N44" t="inlineStr">
        <is>
          <t>Пино Нуар Резерв — Golubitskoe Estate — Красное сухое</t>
        </is>
      </c>
      <c r="O44" t="inlineStr">
        <is>
          <t>Winery Series. Пино Нуар — Golubitskoe Estate — Розовое сухое</t>
        </is>
      </c>
      <c r="P44" t="inlineStr">
        <is>
          <t>Red Blend — Golubitskoe Estate — Красное сухое</t>
        </is>
      </c>
      <c r="Q44" t="inlineStr">
        <is>
          <t>Совиньон Блан — Golubitskoe Estate — Белое сухое</t>
        </is>
      </c>
      <c r="R44" t="inlineStr">
        <is>
          <t>Шардоне Резерв — Golubitskoe Estate — Белое сухое</t>
        </is>
      </c>
      <c r="S44" s="3" t="n">
        <v>0.989237904548645</v>
      </c>
      <c r="T44" s="3" t="n">
        <v>6.534560088766739e-05</v>
      </c>
      <c r="U44" t="n">
        <v>965.6</v>
      </c>
    </row>
    <row r="45">
      <c r="A45" t="inlineStr">
        <is>
          <t>95.19_05-09-2026_15-32-06.webp</t>
        </is>
      </c>
      <c r="B45" t="inlineStr">
        <is>
          <t>нет в каталоге</t>
        </is>
      </c>
      <c r="F45" t="inlineStr">
        <is>
          <t>fanagoriya-alveus-ultra-cuvee-bryut-rozovoe-merlo-igristoe-bryut-rozovoe-12</t>
        </is>
      </c>
      <c r="G45" t="inlineStr">
        <is>
          <t>fanagoriya-blanc-de-blancs-shardone-beloe-bryut-12</t>
        </is>
      </c>
      <c r="H45" t="inlineStr">
        <is>
          <t>fanagoriya-alveus-ultra-cuvee-brut-shardone-beloe-bryut-12</t>
        </is>
      </c>
      <c r="I45" t="inlineStr">
        <is>
          <t>fanagoriya-alveus-ultra-cuvee-ekstra-bryut-rozovoe-merlo-12</t>
        </is>
      </c>
      <c r="J45" t="inlineStr">
        <is>
          <t>fanagoriya-alveus-ultra-cuvee-ekstra-bryut-beloe-risling-reynskiy-12</t>
        </is>
      </c>
      <c r="K45">
        <f>IF(C45="","",IFERROR(MATCH(C45,F45:J45,0),"нет"))</f>
        <v/>
      </c>
      <c r="L45">
        <f>IF(C45="","",IF(K45=1,1,0))</f>
        <v/>
      </c>
      <c r="M45">
        <f>IF(C45="","",IF(ISNUMBER(K45),1,0))</f>
        <v/>
      </c>
      <c r="N45" t="inlineStr">
        <is>
          <t>Alveus Ultra Cuvee. Брют розовое — Фанагория — Розовое брют</t>
        </is>
      </c>
      <c r="O45" t="inlineStr">
        <is>
          <t>Blanc de Blancs — Фанагория — Белое брют</t>
        </is>
      </c>
      <c r="P45" t="inlineStr">
        <is>
          <t>Alveus Ultra Cuvee Brut — Фанагория — Белое брют</t>
        </is>
      </c>
      <c r="Q45" t="inlineStr">
        <is>
          <t>Alveus Ultra Cuvee. Экстра брют розовое — Фанагория — Розовое экстра брют</t>
        </is>
      </c>
      <c r="R45" t="inlineStr">
        <is>
          <t>Alveus Ultra Cuvee. Экстра брют белое — Фанагория — Белое экстра брют</t>
        </is>
      </c>
      <c r="S45" s="3" t="n">
        <v>0.9919073581695557</v>
      </c>
      <c r="T45" s="3" t="n">
        <v>0.003157023806124926</v>
      </c>
      <c r="U45" t="n">
        <v>1493.6</v>
      </c>
    </row>
    <row r="46">
      <c r="A46" t="inlineStr">
        <is>
          <t>95.24_19-08-2026_20-00-22.webp</t>
        </is>
      </c>
      <c r="B46" t="inlineStr">
        <is>
          <t>уверенно</t>
        </is>
      </c>
      <c r="C46" t="inlineStr">
        <is>
          <t>zhemchuzhnaya-9-czitron-shardone-1</t>
        </is>
      </c>
      <c r="D46" t="inlineStr">
        <is>
          <t>Жемчужная 9 Цитрон, Шардоне — АРАТТИ — Белое полусладкое</t>
        </is>
      </c>
      <c r="F46" t="inlineStr">
        <is>
          <t>zhemchuzhnaya-9-czitron-shardone-1</t>
        </is>
      </c>
      <c r="G46" t="inlineStr">
        <is>
          <t>czitronnyj-magaracha-sovinon-blan</t>
        </is>
      </c>
      <c r="H46" t="inlineStr">
        <is>
          <t>zhemchuzhnaya-9-aligote-czitron</t>
        </is>
      </c>
      <c r="I46" t="inlineStr">
        <is>
          <t>zhemchuzhnaya-9-czitron-shardone</t>
        </is>
      </c>
      <c r="J46" t="inlineStr">
        <is>
          <t>zhemchuzhnaya-9-sovinon-blan-aligote</t>
        </is>
      </c>
      <c r="K46">
        <f>IF(C46="","",IFERROR(MATCH(C46,F46:J46,0),"нет"))</f>
        <v/>
      </c>
      <c r="L46">
        <f>IF(C46="","",IF(K46=1,1,0))</f>
        <v/>
      </c>
      <c r="M46">
        <f>IF(C46="","",IF(ISNUMBER(K46),1,0))</f>
        <v/>
      </c>
      <c r="N46" t="inlineStr">
        <is>
          <t>Жемчужная 9 Цитрон, Шардоне — АРАТТИ — Белое полусладкое</t>
        </is>
      </c>
      <c r="O46" t="inlineStr">
        <is>
          <t>Жемчужная 9 Цитрон, Совиньон блан — АРАТТИ — Белое полусухое</t>
        </is>
      </c>
      <c r="P46" t="inlineStr">
        <is>
          <t>Жемчужная 9 Алиготе, Цитрон — АРАТТИ — Белое сухое</t>
        </is>
      </c>
      <c r="Q46" t="inlineStr">
        <is>
          <t>Жемчужная 9 Цитрон, Шардоне — АРАТТИ — Белое сухое</t>
        </is>
      </c>
      <c r="R46" t="inlineStr">
        <is>
          <t>Жемчужная 9 Совиньон блан, Алиготе — АРАТТИ — Белое сухое</t>
        </is>
      </c>
      <c r="S46" s="3" t="n">
        <v>0.9999996423721313</v>
      </c>
      <c r="T46" s="3" t="n">
        <v>7.734418971949708e-08</v>
      </c>
      <c r="U46" t="n">
        <v>919.2</v>
      </c>
    </row>
    <row r="47">
      <c r="A47" t="inlineStr">
        <is>
          <t>95.29_21-08-2026_17-24-49.webp</t>
        </is>
      </c>
      <c r="B47" t="inlineStr">
        <is>
          <t>нет в каталоге</t>
        </is>
      </c>
      <c r="F47" t="inlineStr">
        <is>
          <t>risling-1</t>
        </is>
      </c>
      <c r="G47" t="inlineStr">
        <is>
          <t>usadba-mezyb-shishka-pino-nuar-rozovoe-suhoe-115</t>
        </is>
      </c>
      <c r="H47" t="inlineStr">
        <is>
          <t>usadba-perovskih-pino-nuar-rezerv-krasnoe-suhoe-122</t>
        </is>
      </c>
      <c r="I47" t="inlineStr">
        <is>
          <t>bakla-vines-pino-nuar-krasnoe-suhoe-125</t>
        </is>
      </c>
      <c r="J47" t="inlineStr">
        <is>
          <t>vaynkraft-pino-nuar-krasnoe-suhoe-13</t>
        </is>
      </c>
      <c r="K47">
        <f>IF(C47="","",IFERROR(MATCH(C47,F47:J47,0),"нет"))</f>
        <v/>
      </c>
      <c r="L47">
        <f>IF(C47="","",IF(K47=1,1,0))</f>
        <v/>
      </c>
      <c r="M47">
        <f>IF(C47="","",IF(ISNUMBER(K47),1,0))</f>
        <v/>
      </c>
      <c r="N47" t="inlineStr">
        <is>
          <t>Рислинг — Табия — Белое полусухое</t>
        </is>
      </c>
      <c r="O47" t="inlineStr">
        <is>
          <t>Шишка. Пино Нуар — Усадьба Мезыбь — Розовое сухое</t>
        </is>
      </c>
      <c r="P47" t="inlineStr">
        <is>
          <t>Пино Нуар Резерв — Усадьба Перовских — Красное сухое</t>
        </is>
      </c>
      <c r="Q47" t="inlineStr">
        <is>
          <t>Пино Нуар — Bakla Vines — Красное сухое</t>
        </is>
      </c>
      <c r="R47" t="inlineStr">
        <is>
          <t>Пино Нуар — ВайнКрафт — Красное сухое</t>
        </is>
      </c>
      <c r="S47" s="3" t="n">
        <v>0.9999643564224243</v>
      </c>
      <c r="T47" s="3" t="n">
        <v>5.043297051088302e-07</v>
      </c>
      <c r="U47" t="n">
        <v>1189.2</v>
      </c>
    </row>
    <row r="48">
      <c r="A48" t="inlineStr">
        <is>
          <t>95.2_05-09-2026_13-54-13.webp</t>
        </is>
      </c>
      <c r="B48" t="inlineStr">
        <is>
          <t>уверенно</t>
        </is>
      </c>
      <c r="C48" t="inlineStr">
        <is>
          <t>aratti-kaberne-po-belomu-1</t>
        </is>
      </c>
      <c r="D48" t="inlineStr">
        <is>
          <t>АРАТТИ Каберне по-белому — АРАТТИ — Розовое полусухое</t>
        </is>
      </c>
      <c r="F48" t="inlineStr">
        <is>
          <t>aratti-kaberne-po-belomu-1</t>
        </is>
      </c>
      <c r="G48" t="inlineStr">
        <is>
          <t>aratti-kaberne-po-belomu</t>
        </is>
      </c>
      <c r="H48" t="inlineStr">
        <is>
          <t>aratti-kaberne-sovinon-2021-krasnoe-suhoe</t>
        </is>
      </c>
      <c r="I48" t="inlineStr">
        <is>
          <t>aratti-muskat-belyj-polusuhoe</t>
        </is>
      </c>
      <c r="J48" t="inlineStr">
        <is>
          <t>aratti-muskat-belyj-suhoe</t>
        </is>
      </c>
      <c r="K48">
        <f>IF(C48="","",IFERROR(MATCH(C48,F48:J48,0),"нет"))</f>
        <v/>
      </c>
      <c r="L48">
        <f>IF(C48="","",IF(K48=1,1,0))</f>
        <v/>
      </c>
      <c r="M48">
        <f>IF(C48="","",IF(ISNUMBER(K48),1,0))</f>
        <v/>
      </c>
      <c r="N48" t="inlineStr">
        <is>
          <t>АРАТТИ Каберне по-белому — АРАТТИ — Розовое полусухое</t>
        </is>
      </c>
      <c r="O48" t="inlineStr">
        <is>
          <t>АРАТТИ Каберне по-белому — АРАТТИ — Красное сухое</t>
        </is>
      </c>
      <c r="P48" t="inlineStr">
        <is>
          <t>АРАТТИ Каберне Совиньон 2021 красное сухое — АРАТТИ — Красное сухое</t>
        </is>
      </c>
      <c r="Q48" t="inlineStr">
        <is>
          <t>АРАТТИ Мускат белый полусухое — АРАТТИ — Белое полусухое</t>
        </is>
      </c>
      <c r="R48" t="inlineStr">
        <is>
          <t>АРАТТИ Мускат белый сухое — АРАТТИ — Белое сухое</t>
        </is>
      </c>
      <c r="S48" s="3" t="n">
        <v>0.9999997615814209</v>
      </c>
      <c r="T48" s="3" t="n">
        <v>4.691163368875095e-08</v>
      </c>
      <c r="U48" t="n">
        <v>853.5</v>
      </c>
    </row>
    <row r="49">
      <c r="A49" t="inlineStr">
        <is>
          <t>95.32_02-09-2026_12-09-23.webp</t>
        </is>
      </c>
      <c r="B49" t="inlineStr">
        <is>
          <t>уверенно</t>
        </is>
      </c>
      <c r="C49" t="inlineStr">
        <is>
          <t>sovinon-blan</t>
        </is>
      </c>
      <c r="D49" t="inlineStr">
        <is>
          <t>Совиньон Блан — Литавщук. Litavshchuk vineyards &amp; winery — Белое полусладкое</t>
        </is>
      </c>
      <c r="F49" t="inlineStr">
        <is>
          <t>sovinon-blan</t>
        </is>
      </c>
      <c r="G49" t="inlineStr">
        <is>
          <t>blagolyubov-sovinon-blan-beloe-suhoe-125</t>
        </is>
      </c>
      <c r="H49" t="inlineStr">
        <is>
          <t>dubinin-winery-sovinon-blan-beloe-suhoe-12</t>
        </is>
      </c>
      <c r="I49" t="inlineStr">
        <is>
          <t>vinodelnya-begildeeva-kaberne-sovinon-krasnoe-suhoe-14</t>
        </is>
      </c>
      <c r="J49" t="inlineStr">
        <is>
          <t>vinodelnya-begildeeva-kaberne-sovinon-merlo-krasnoe-suhoe-14</t>
        </is>
      </c>
      <c r="K49">
        <f>IF(C49="","",IFERROR(MATCH(C49,F49:J49,0),"нет"))</f>
        <v/>
      </c>
      <c r="L49">
        <f>IF(C49="","",IF(K49=1,1,0))</f>
        <v/>
      </c>
      <c r="M49">
        <f>IF(C49="","",IF(ISNUMBER(K49),1,0))</f>
        <v/>
      </c>
      <c r="N49" t="inlineStr">
        <is>
          <t>Совиньон Блан — Литавщук. Litavshchuk vineyards &amp; winery — Белое полусладкое</t>
        </is>
      </c>
      <c r="O49" t="inlineStr">
        <is>
          <t>Совиньон Блан — Благолюбов — Белое сухое</t>
        </is>
      </c>
      <c r="P49" t="inlineStr">
        <is>
          <t>Совиньон Блан — Dubinin Winery — Белое сухое</t>
        </is>
      </c>
      <c r="Q49" t="inlineStr">
        <is>
          <t>Каберне Совиньон — Винодельня Бегильдеева — Красное сухое</t>
        </is>
      </c>
      <c r="R49" t="inlineStr">
        <is>
          <t>Каберне Совиньон – Мерло — Винодельня Бегильдеева — Красное сухое</t>
        </is>
      </c>
      <c r="S49" s="3" t="n">
        <v>0.9999998807907104</v>
      </c>
      <c r="T49" s="3" t="n">
        <v>4.139937459513021e-08</v>
      </c>
      <c r="U49" t="n">
        <v>1106.5</v>
      </c>
    </row>
    <row r="50">
      <c r="A50" t="inlineStr">
        <is>
          <t>95.35_05-09-2026_15-29-53.webp</t>
        </is>
      </c>
      <c r="B50" t="inlineStr">
        <is>
          <t>нет в каталоге</t>
        </is>
      </c>
      <c r="F50" t="inlineStr">
        <is>
          <t>fanagoriya-alveus-ultra-cuvee-bryut-rozovoe-merlo-igristoe-bryut-rozovoe-12</t>
        </is>
      </c>
      <c r="G50" t="inlineStr">
        <is>
          <t>fanagoriya-blanc-de-blancs-shardone-beloe-bryut-12</t>
        </is>
      </c>
      <c r="H50" t="inlineStr">
        <is>
          <t>fanagoriya-alveus-ultra-cuvee-brut-shardone-beloe-bryut-12</t>
        </is>
      </c>
      <c r="I50" t="inlineStr">
        <is>
          <t>fanagoriya-alveus-ultra-cuvee-ekstra-bryut-rozovoe-merlo-12</t>
        </is>
      </c>
      <c r="J50" t="inlineStr">
        <is>
          <t>fanagoriya-alveus-ultra-cuvee-ekstra-bryut-beloe-risling-reynskiy-12</t>
        </is>
      </c>
      <c r="K50">
        <f>IF(C50="","",IFERROR(MATCH(C50,F50:J50,0),"нет"))</f>
        <v/>
      </c>
      <c r="L50">
        <f>IF(C50="","",IF(K50=1,1,0))</f>
        <v/>
      </c>
      <c r="M50">
        <f>IF(C50="","",IF(ISNUMBER(K50),1,0))</f>
        <v/>
      </c>
      <c r="N50" t="inlineStr">
        <is>
          <t>Alveus Ultra Cuvee. Брют розовое — Фанагория — Розовое брют</t>
        </is>
      </c>
      <c r="O50" t="inlineStr">
        <is>
          <t>Blanc de Blancs — Фанагория — Белое брют</t>
        </is>
      </c>
      <c r="P50" t="inlineStr">
        <is>
          <t>Alveus Ultra Cuvee Brut — Фанагория — Белое брют</t>
        </is>
      </c>
      <c r="Q50" t="inlineStr">
        <is>
          <t>Alveus Ultra Cuvee. Экстра брют розовое — Фанагория — Розовое экстра брют</t>
        </is>
      </c>
      <c r="R50" t="inlineStr">
        <is>
          <t>Alveus Ultra Cuvee. Экстра брют белое — Фанагория — Белое экстра брют</t>
        </is>
      </c>
      <c r="S50" s="3" t="n">
        <v>0.9649462699890137</v>
      </c>
      <c r="T50" s="3" t="n">
        <v>0.03301864489912987</v>
      </c>
      <c r="U50" t="n">
        <v>1478.7</v>
      </c>
    </row>
    <row r="51">
      <c r="A51" t="inlineStr">
        <is>
          <t>95.36_28-08-2026_17-09-04.webp</t>
        </is>
      </c>
      <c r="B51" t="inlineStr">
        <is>
          <t>нет в каталоге</t>
        </is>
      </c>
      <c r="F51" t="inlineStr">
        <is>
          <t>winemaker-selection</t>
        </is>
      </c>
      <c r="G51" t="inlineStr">
        <is>
          <t>inkermanskiy-zmv-inkerman-bryut-rkatsiteli-beloe-12</t>
        </is>
      </c>
      <c r="H51" t="inlineStr">
        <is>
          <t>inkermanskiy-zmv-inkerman-bryut-shardone-beloe-135</t>
        </is>
      </c>
      <c r="I51" t="inlineStr">
        <is>
          <t>inkerman-shato-ruzh</t>
        </is>
      </c>
      <c r="J51" t="inlineStr">
        <is>
          <t>inkerman-shato-blan</t>
        </is>
      </c>
      <c r="K51">
        <f>IF(C51="","",IFERROR(MATCH(C51,F51:J51,0),"нет"))</f>
        <v/>
      </c>
      <c r="L51">
        <f>IF(C51="","",IF(K51=1,1,0))</f>
        <v/>
      </c>
      <c r="M51">
        <f>IF(C51="","",IF(ISNUMBER(K51),1,0))</f>
        <v/>
      </c>
      <c r="N51" t="inlineStr">
        <is>
          <t>Winemaker selection — Инкерманский ЗМВ — Белое полусухое</t>
        </is>
      </c>
      <c r="O51" t="inlineStr">
        <is>
          <t>Инкерман Брют — Инкерманский ЗМВ — Белое брют</t>
        </is>
      </c>
      <c r="P51" t="inlineStr">
        <is>
          <t>Inkerman брют — Инкерманский ЗМВ — Белое брют</t>
        </is>
      </c>
      <c r="Q51" t="inlineStr">
        <is>
          <t>Inkerman Шато Руж — Инкерманский ЗМВ — Красное полусухое</t>
        </is>
      </c>
      <c r="R51" t="inlineStr">
        <is>
          <t>Инкерман Шато Блан — Инкерманский ЗМВ — Белое полусухое</t>
        </is>
      </c>
      <c r="S51" s="3" t="n">
        <v>0.999967098236084</v>
      </c>
      <c r="T51" s="3" t="n">
        <v>4.222712050250266e-06</v>
      </c>
      <c r="U51" t="n">
        <v>1032.9</v>
      </c>
    </row>
    <row r="52">
      <c r="A52" t="inlineStr">
        <is>
          <t>95.49_05-09-2026_15-34-51.webp</t>
        </is>
      </c>
      <c r="B52" t="inlineStr">
        <is>
          <t>уверенно</t>
        </is>
      </c>
      <c r="C52" t="inlineStr">
        <is>
          <t>zhemchuzhnaya-9-pino-nuar-muskat-rozovyj-2</t>
        </is>
      </c>
      <c r="D52" t="inlineStr">
        <is>
          <t>Жемчужная 9 Пино нуар, Мускат Розовый — АРАТТИ — Розовое полусладкое</t>
        </is>
      </c>
      <c r="F52" t="inlineStr">
        <is>
          <t>zhemchuzhnaya-9-pino-nuar-muskat-rozovyj-2</t>
        </is>
      </c>
      <c r="G52" t="inlineStr">
        <is>
          <t>zhemchuzhnaya-9-pino-nuar-muskat-rozovyj-1</t>
        </is>
      </c>
      <c r="H52" t="inlineStr">
        <is>
          <t>zhemchuzhnaya-9-pino-nuar-muskat-rozovyj</t>
        </is>
      </c>
      <c r="I52" t="inlineStr">
        <is>
          <t>zhemchuzhnaya-9-muskat-rozovyj-pino-gri</t>
        </is>
      </c>
      <c r="J52" t="inlineStr">
        <is>
          <t>zhemchuzhnaya-9-pino-gri-pino-nuar</t>
        </is>
      </c>
      <c r="K52">
        <f>IF(C52="","",IFERROR(MATCH(C52,F52:J52,0),"нет"))</f>
        <v/>
      </c>
      <c r="L52">
        <f>IF(C52="","",IF(K52=1,1,0))</f>
        <v/>
      </c>
      <c r="M52">
        <f>IF(C52="","",IF(ISNUMBER(K52),1,0))</f>
        <v/>
      </c>
      <c r="N52" t="inlineStr">
        <is>
          <t>Жемчужная 9 Пино нуар, Мускат Розовый — АРАТТИ — Розовое полусладкое</t>
        </is>
      </c>
      <c r="O52" t="inlineStr">
        <is>
          <t>Жемчужная 9 Пино Нуар, Мускат розовый — АРАТТИ — Розовое полусухое</t>
        </is>
      </c>
      <c r="P52" t="inlineStr">
        <is>
          <t>Жемчужная 9 Пино Нуар, Мускат Розовый — АРАТТИ — Розовое сухое</t>
        </is>
      </c>
      <c r="Q52" t="inlineStr">
        <is>
          <t>Жемчужная 9 Мускат Розовый, Пино гри — АРАТТИ — Розовое сухое</t>
        </is>
      </c>
      <c r="R52" t="inlineStr">
        <is>
          <t>Жемчужная 9 Пино Гри, Пино Нуар — АРАТТИ — Розовое сухое</t>
        </is>
      </c>
      <c r="S52" s="3" t="n">
        <v>0.9998202919960022</v>
      </c>
      <c r="T52" s="3" t="n">
        <v>2.215550765072294e-08</v>
      </c>
      <c r="U52" t="n">
        <v>944.5</v>
      </c>
    </row>
    <row r="53">
      <c r="A53" t="inlineStr">
        <is>
          <t>95.63_24-08-2026_17-47-43.webp</t>
        </is>
      </c>
      <c r="B53" t="inlineStr">
        <is>
          <t>уверенно</t>
        </is>
      </c>
      <c r="C53" t="inlineStr">
        <is>
          <t>rubin-golodrigi</t>
        </is>
      </c>
      <c r="D53" t="inlineStr">
        <is>
          <t>Рубин Голодриги  — Табия — Красное сухое</t>
        </is>
      </c>
      <c r="F53" t="inlineStr">
        <is>
          <t>rubin-golodrigi</t>
        </is>
      </c>
      <c r="G53" t="inlineStr">
        <is>
          <t>kaberne-sovinon-2</t>
        </is>
      </c>
      <c r="H53" t="inlineStr">
        <is>
          <t>bukovinka</t>
        </is>
      </c>
      <c r="I53" t="inlineStr">
        <is>
          <t>roze-2</t>
        </is>
      </c>
      <c r="J53" t="inlineStr">
        <is>
          <t>rozovoe-zoloto</t>
        </is>
      </c>
      <c r="K53">
        <f>IF(C53="","",IFERROR(MATCH(C53,F53:J53,0),"нет"))</f>
        <v/>
      </c>
      <c r="L53">
        <f>IF(C53="","",IF(K53=1,1,0))</f>
        <v/>
      </c>
      <c r="M53">
        <f>IF(C53="","",IF(ISNUMBER(K53),1,0))</f>
        <v/>
      </c>
      <c r="N53" t="inlineStr">
        <is>
          <t>Рубин Голодриги  — Табия — Красное сухое</t>
        </is>
      </c>
      <c r="O53" t="inlineStr">
        <is>
          <t>Каберне Совиньон — Табия — Красное сухое</t>
        </is>
      </c>
      <c r="P53" t="inlineStr">
        <is>
          <t>Буковинка — Табия — Белое полусухое</t>
        </is>
      </c>
      <c r="Q53" t="inlineStr">
        <is>
          <t>Розе — Табия — Розовое сухое</t>
        </is>
      </c>
      <c r="R53" t="inlineStr">
        <is>
          <t>Розовое золото — Табия — Розовое полусухое</t>
        </is>
      </c>
      <c r="S53" s="3" t="n">
        <v>1</v>
      </c>
      <c r="T53" s="3" t="n">
        <v>2.845334812207057e-08</v>
      </c>
      <c r="U53" t="n">
        <v>756</v>
      </c>
    </row>
    <row r="54">
      <c r="A54" t="inlineStr">
        <is>
          <t>95.75_02-09-2026_14-47-49.webp</t>
        </is>
      </c>
      <c r="B54" t="inlineStr">
        <is>
          <t>уверенно</t>
        </is>
      </c>
      <c r="C54" t="inlineStr">
        <is>
          <t>uva-vallis-risling</t>
        </is>
      </c>
      <c r="D54" t="inlineStr">
        <is>
          <t>Uva Vallis Рислинг — Uva Vallis — Красное сухое</t>
        </is>
      </c>
      <c r="F54" t="inlineStr">
        <is>
          <t>uva-vallis-risling</t>
        </is>
      </c>
      <c r="G54" t="inlineStr">
        <is>
          <t>uva-vallis-shardone</t>
        </is>
      </c>
      <c r="H54" t="inlineStr">
        <is>
          <t>uva-vallis-sovinon-blan</t>
        </is>
      </c>
      <c r="I54" t="inlineStr">
        <is>
          <t>uva-vallis-sira</t>
        </is>
      </c>
      <c r="J54" t="inlineStr">
        <is>
          <t>alma-valley-risling-beloe-polusuhoe-125</t>
        </is>
      </c>
      <c r="K54">
        <f>IF(C54="","",IFERROR(MATCH(C54,F54:J54,0),"нет"))</f>
        <v/>
      </c>
      <c r="L54">
        <f>IF(C54="","",IF(K54=1,1,0))</f>
        <v/>
      </c>
      <c r="M54">
        <f>IF(C54="","",IF(ISNUMBER(K54),1,0))</f>
        <v/>
      </c>
      <c r="N54" t="inlineStr">
        <is>
          <t>Uva Vallis Рислинг — Uva Vallis — Красное сухое</t>
        </is>
      </c>
      <c r="O54" t="inlineStr">
        <is>
          <t>Uva Vallis Шардоне — Uva Vallis — Белое сухое</t>
        </is>
      </c>
      <c r="P54" t="inlineStr">
        <is>
          <t>Uva Vallis Совиньон Блан — Uva Vallis — Белое сухое</t>
        </is>
      </c>
      <c r="Q54" t="inlineStr">
        <is>
          <t>Uva Vallis Сира — Uva Vallis — Красное сухое</t>
        </is>
      </c>
      <c r="R54" t="inlineStr">
        <is>
          <t>Рислинг — Alma Valley — Белое полусухое</t>
        </is>
      </c>
      <c r="S54" s="3" t="n">
        <v>0.9999998807907104</v>
      </c>
      <c r="T54" s="3" t="n">
        <v>1.125351616337866e-07</v>
      </c>
      <c r="U54" t="n">
        <v>883.6</v>
      </c>
    </row>
    <row r="55">
      <c r="A55" t="inlineStr">
        <is>
          <t>95.76_23-08-2026_18-19-43.webp</t>
        </is>
      </c>
      <c r="B55" t="inlineStr">
        <is>
          <t>уверенно</t>
        </is>
      </c>
      <c r="C55" t="inlineStr">
        <is>
          <t>denisov_barynya_kurmyshi</t>
        </is>
      </c>
      <c r="D55" t="inlineStr">
        <is>
          <t>Барыня. Курмыши — Denisov Winery — Розовое сухое</t>
        </is>
      </c>
      <c r="F55" t="inlineStr">
        <is>
          <t>denisov_barynya_kurmyshi</t>
        </is>
      </c>
      <c r="G55" t="inlineStr">
        <is>
          <t>denisov_pereplyas_kurmyshi</t>
        </is>
      </c>
      <c r="H55" t="inlineStr">
        <is>
          <t>denisov-winery-assamblyazh-rubin-golodrigi-rozovoe-suhoe-12</t>
        </is>
      </c>
      <c r="I55" t="inlineStr">
        <is>
          <t>denisov_pino_noir_klaret</t>
        </is>
      </c>
      <c r="J55" t="inlineStr">
        <is>
          <t>belbek-kokur-kokur-belyy-beloe-suhoe-13</t>
        </is>
      </c>
      <c r="K55">
        <f>IF(C55="","",IFERROR(MATCH(C55,F55:J55,0),"нет"))</f>
        <v/>
      </c>
      <c r="L55">
        <f>IF(C55="","",IF(K55=1,1,0))</f>
        <v/>
      </c>
      <c r="M55">
        <f>IF(C55="","",IF(ISNUMBER(K55),1,0))</f>
        <v/>
      </c>
      <c r="N55" t="inlineStr">
        <is>
          <t>Барыня. Курмыши — Denisov Winery — Розовое сухое</t>
        </is>
      </c>
      <c r="O55" t="inlineStr">
        <is>
          <t>Перепляс. Курмыши — Denisov Winery — Розовое сухое</t>
        </is>
      </c>
      <c r="P55" t="inlineStr">
        <is>
          <t>Ассамбляж — Denisov Winery — Розовое сухое</t>
        </is>
      </c>
      <c r="Q55" t="inlineStr">
        <is>
          <t>Пино Нуар кларет. Красная стрелка — Denisov Winery — Розовое сухое</t>
        </is>
      </c>
      <c r="R55" t="inlineStr">
        <is>
          <t>Кокур — Бельбек — Белое сухое</t>
        </is>
      </c>
      <c r="S55" s="3" t="n">
        <v>0.9995608925819397</v>
      </c>
      <c r="T55" s="3" t="n">
        <v>1.3703571539736e-06</v>
      </c>
      <c r="U55" t="n">
        <v>1176.1</v>
      </c>
    </row>
    <row r="56">
      <c r="A56" t="inlineStr">
        <is>
          <t>95.88_02-09-2026_14-41-59.webp</t>
        </is>
      </c>
      <c r="B56" t="inlineStr">
        <is>
          <t>уверенно</t>
        </is>
      </c>
      <c r="C56" t="inlineStr">
        <is>
          <t>fanagoriya-zelyonoe-vino-risling-tsitronnyy-magaracha-beloe-polusuhoe-11</t>
        </is>
      </c>
      <c r="D56" t="inlineStr">
        <is>
          <t>Зелёное вино. Рислинг - Цитронный Магарача — Фанагория — Белое полусухое</t>
        </is>
      </c>
      <c r="F56" t="inlineStr">
        <is>
          <t>fanagoriya-zelyonoe-vino-risling-tsitronnyy-magaracha-beloe-polusuhoe-11</t>
        </is>
      </c>
      <c r="G56" t="inlineStr">
        <is>
          <t>fanagoriya-zelyonoe-vino-risling-tsitronnyy-magaracha-merlo-rozovoe-polusuhoe-11</t>
        </is>
      </c>
      <c r="H56" t="inlineStr">
        <is>
          <t>rozovoe-polusladkoe</t>
        </is>
      </c>
      <c r="I56" t="inlineStr">
        <is>
          <t>fanagoriya-beloe-polusladkoe</t>
        </is>
      </c>
      <c r="J56" t="inlineStr">
        <is>
          <t>fanagoriya-ice-wine-risling-tihoe-beloe-sladkoe-10</t>
        </is>
      </c>
      <c r="K56">
        <f>IF(C56="","",IFERROR(MATCH(C56,F56:J56,0),"нет"))</f>
        <v/>
      </c>
      <c r="L56">
        <f>IF(C56="","",IF(K56=1,1,0))</f>
        <v/>
      </c>
      <c r="M56">
        <f>IF(C56="","",IF(ISNUMBER(K56),1,0))</f>
        <v/>
      </c>
      <c r="N56" t="inlineStr">
        <is>
          <t>Зелёное вино. Рислинг - Цитронный Магарача — Фанагория — Белое полусухое</t>
        </is>
      </c>
      <c r="O56" t="inlineStr">
        <is>
          <t>Зелёное вино. Рислинг - Цитронный Магарача - Мерло — Фанагория — Розовое полусухое</t>
        </is>
      </c>
      <c r="P56" t="inlineStr">
        <is>
          <t>Розовое полусладкое — Фанагория — Розовое полусладкое</t>
        </is>
      </c>
      <c r="Q56" t="inlineStr">
        <is>
          <t>Фанагория белое полусладкое — Фанагория — Белое полусладкое</t>
        </is>
      </c>
      <c r="R56" t="inlineStr">
        <is>
          <t>Ice Wine Рислинг тихое — Фанагория — Белое сладкое</t>
        </is>
      </c>
      <c r="S56" s="3" t="n">
        <v>0.9999998807907104</v>
      </c>
      <c r="T56" s="3" t="n">
        <v>8.764247638737288e-08</v>
      </c>
      <c r="U56" t="n">
        <v>1200.8</v>
      </c>
    </row>
    <row r="57">
      <c r="A57" t="inlineStr">
        <is>
          <t>95.8_19-08-2026_19-33-23.webp</t>
        </is>
      </c>
      <c r="B57" t="inlineStr">
        <is>
          <t>уверенно</t>
        </is>
      </c>
      <c r="C57" t="inlineStr">
        <is>
          <t>roze-2</t>
        </is>
      </c>
      <c r="D57" t="inlineStr">
        <is>
          <t>Розе — Табия — Розовое сухое</t>
        </is>
      </c>
      <c r="F57" t="inlineStr">
        <is>
          <t>roze-2</t>
        </is>
      </c>
      <c r="G57" t="inlineStr">
        <is>
          <t>bukovinka</t>
        </is>
      </c>
      <c r="H57" t="inlineStr">
        <is>
          <t>rozovoe-zoloto</t>
        </is>
      </c>
      <c r="I57" t="inlineStr">
        <is>
          <t>rubin-golodrigi</t>
        </is>
      </c>
      <c r="J57" t="inlineStr">
        <is>
          <t>oleg</t>
        </is>
      </c>
      <c r="K57">
        <f>IF(C57="","",IFERROR(MATCH(C57,F57:J57,0),"нет"))</f>
        <v/>
      </c>
      <c r="L57">
        <f>IF(C57="","",IF(K57=1,1,0))</f>
        <v/>
      </c>
      <c r="M57">
        <f>IF(C57="","",IF(ISNUMBER(K57),1,0))</f>
        <v/>
      </c>
      <c r="N57" t="inlineStr">
        <is>
          <t>Розе — Табия — Розовое сухое</t>
        </is>
      </c>
      <c r="O57" t="inlineStr">
        <is>
          <t>Буковинка — Табия — Белое полусухое</t>
        </is>
      </c>
      <c r="P57" t="inlineStr">
        <is>
          <t>Розовое золото — Табия — Розовое полусухое</t>
        </is>
      </c>
      <c r="Q57" t="inlineStr">
        <is>
          <t>Рубин Голодриги  — Табия — Красное сухое</t>
        </is>
      </c>
      <c r="R57" t="inlineStr">
        <is>
          <t>Олег — Табия — Белое сухое</t>
        </is>
      </c>
      <c r="S57" s="3" t="n">
        <v>0.9999997615814209</v>
      </c>
      <c r="T57" s="3" t="n">
        <v>1.444980028963982e-07</v>
      </c>
      <c r="U57" t="n">
        <v>724.2</v>
      </c>
    </row>
    <row r="58">
      <c r="A58" t="inlineStr">
        <is>
          <t>95.8_19-08-2026_20-47-59.webp</t>
        </is>
      </c>
      <c r="B58" t="inlineStr">
        <is>
          <t>не уверен</t>
        </is>
      </c>
      <c r="C58" t="inlineStr">
        <is>
          <t>denisov-winery-sovinon-blan-beloe-suhoe-115</t>
        </is>
      </c>
      <c r="D58" t="inlineStr">
        <is>
          <t>Совиньон Блан — Denisov Winery — Белое сухое</t>
        </is>
      </c>
      <c r="E58" t="inlineStr">
        <is>
          <t>этикетка по цвету другая</t>
        </is>
      </c>
      <c r="F58" t="inlineStr">
        <is>
          <t>denisov-winery-sovinon-blan-beloe-suhoe-115</t>
        </is>
      </c>
      <c r="G58" t="inlineStr">
        <is>
          <t>dubinin-winery-sovinon-blan-beloe-suhoe-12</t>
        </is>
      </c>
      <c r="H58" t="inlineStr">
        <is>
          <t>sovinon-blan-krasnaya-gorka</t>
        </is>
      </c>
      <c r="I58" t="inlineStr">
        <is>
          <t>sovinon-blan</t>
        </is>
      </c>
      <c r="J58" t="inlineStr">
        <is>
          <t>blagolyubov-sovinon-blan-beloe-suhoe-125</t>
        </is>
      </c>
      <c r="K58">
        <f>IF(C58="","",IFERROR(MATCH(C58,F58:J58,0),"нет"))</f>
        <v/>
      </c>
      <c r="L58">
        <f>IF(C58="","",IF(K58=1,1,0))</f>
        <v/>
      </c>
      <c r="M58">
        <f>IF(C58="","",IF(ISNUMBER(K58),1,0))</f>
        <v/>
      </c>
      <c r="N58" t="inlineStr">
        <is>
          <t>Совиньон Блан — Denisov Winery — Белое сухое</t>
        </is>
      </c>
      <c r="O58" t="inlineStr">
        <is>
          <t>Совиньон Блан — Dubinin Winery — Белое сухое</t>
        </is>
      </c>
      <c r="P58" t="inlineStr">
        <is>
          <t>Совиньон Блан — Галицкий и Галицкий — Белое сухое</t>
        </is>
      </c>
      <c r="Q58" t="inlineStr">
        <is>
          <t>Совиньон Блан — Литавщук. Litavshchuk vineyards &amp; winery — Белое полусладкое</t>
        </is>
      </c>
      <c r="R58" t="inlineStr">
        <is>
          <t>Совиньон Блан — Благолюбов — Белое сухое</t>
        </is>
      </c>
      <c r="S58" s="3" t="n">
        <v>0.9984353184700012</v>
      </c>
      <c r="T58" s="3" t="n">
        <v>7.876979907450732e-06</v>
      </c>
      <c r="U58" t="n">
        <v>1262.1</v>
      </c>
    </row>
    <row r="59">
      <c r="A59" t="inlineStr">
        <is>
          <t>96.05_28-08-2026_09-14-57.webp</t>
        </is>
      </c>
      <c r="B59" t="inlineStr">
        <is>
          <t>нет в каталоге</t>
        </is>
      </c>
      <c r="F59" t="inlineStr">
        <is>
          <t>usadba-divnomorskoe-yuzhnyy-les-merlo-krasnoe-suhoe-137</t>
        </is>
      </c>
      <c r="G59" t="inlineStr">
        <is>
          <t>usadba-divnomorskoe-solnechnyy-veter-shardone-beloe-suhoe-125</t>
        </is>
      </c>
      <c r="H59" t="inlineStr">
        <is>
          <t>usadba-divnomorskoe-holodnyy-tuman-risling-beloe-suhoe-115</t>
        </is>
      </c>
      <c r="I59" t="inlineStr">
        <is>
          <t>usadba-divnomorskoe-solist-marselan-rozovoe-suhoe-115</t>
        </is>
      </c>
      <c r="J59" t="inlineStr">
        <is>
          <t>vinodelnya-vedernikov-vedernikov-krasnostop-zolotovskiy-magnum-krasnoe-suhoe-145</t>
        </is>
      </c>
      <c r="K59">
        <f>IF(C59="","",IFERROR(MATCH(C59,F59:J59,0),"нет"))</f>
        <v/>
      </c>
      <c r="L59">
        <f>IF(C59="","",IF(K59=1,1,0))</f>
        <v/>
      </c>
      <c r="M59">
        <f>IF(C59="","",IF(ISNUMBER(K59),1,0))</f>
        <v/>
      </c>
      <c r="N59" t="inlineStr">
        <is>
          <t>Южный Лес — Усадьба Дивноморское — Красное сухое</t>
        </is>
      </c>
      <c r="O59" t="inlineStr">
        <is>
          <t>Солнечный Ветер — Усадьба Дивноморское — Белое сухое</t>
        </is>
      </c>
      <c r="P59" t="inlineStr">
        <is>
          <t>Холодный Туман — Усадьба Дивноморское — Белое сухое</t>
        </is>
      </c>
      <c r="Q59" t="inlineStr">
        <is>
          <t>Солист — Усадьба Дивноморское — Розовое сухое</t>
        </is>
      </c>
      <c r="R59" t="inlineStr">
        <is>
          <t>Ведерниковъ Красностоп Золотовский (магнум) — Ведерниковъ — Красное сухое</t>
        </is>
      </c>
      <c r="S59" s="3" t="n">
        <v>0.9999932050704956</v>
      </c>
      <c r="T59" s="3" t="n">
        <v>5.422211415861966e-06</v>
      </c>
      <c r="U59" t="n">
        <v>1659.7</v>
      </c>
    </row>
    <row r="60">
      <c r="A60" t="inlineStr">
        <is>
          <t>96.07_28-08-2026_16-10-06.webp</t>
        </is>
      </c>
      <c r="B60" t="inlineStr">
        <is>
          <t>уверенно</t>
        </is>
      </c>
      <c r="C60" t="inlineStr">
        <is>
          <t>golubitskoe-estate-kaberne-sovinon-krasnoe-suhoe-137</t>
        </is>
      </c>
      <c r="D60" t="inlineStr">
        <is>
          <t>Каберне Совиньон — Golubitskoe Estate — Красное сухое</t>
        </is>
      </c>
      <c r="F60" t="inlineStr">
        <is>
          <t>golubitskoe-estate-kaberne-sovinon-krasnoe-suhoe-137</t>
        </is>
      </c>
      <c r="G60" t="inlineStr">
        <is>
          <t>golubitskoe-estate-red-blend-kaberne-sovinon-krasnoe-suhoe-136</t>
        </is>
      </c>
      <c r="H60" t="inlineStr">
        <is>
          <t>golubitskoe-estate-kaberne-sovinon-rezerv-krasnoe-suhoe-125</t>
        </is>
      </c>
      <c r="I60" t="inlineStr">
        <is>
          <t>pomeste-golubitskoe-kaberne-sovinon-rezerv-krasnoe-suhoe-143</t>
        </is>
      </c>
      <c r="J60" t="inlineStr">
        <is>
          <t>golubitskoe-estate-sovinon-blan-beloe-suhoe-11</t>
        </is>
      </c>
      <c r="K60">
        <f>IF(C60="","",IFERROR(MATCH(C60,F60:J60,0),"нет"))</f>
        <v/>
      </c>
      <c r="L60">
        <f>IF(C60="","",IF(K60=1,1,0))</f>
        <v/>
      </c>
      <c r="M60">
        <f>IF(C60="","",IF(ISNUMBER(K60),1,0))</f>
        <v/>
      </c>
      <c r="N60" t="inlineStr">
        <is>
          <t>Каберне Совиньон — Golubitskoe Estate — Красное сухое</t>
        </is>
      </c>
      <c r="O60" t="inlineStr">
        <is>
          <t>Red Blend — Golubitskoe Estate — Красное сухое</t>
        </is>
      </c>
      <c r="P60" t="inlineStr">
        <is>
          <t>Каберне Совиньон Резерв — Golubitskoe Estate — Красное сухое</t>
        </is>
      </c>
      <c r="Q60" t="inlineStr">
        <is>
          <t>Каберне Совиньон Резерв — Golubitskoe Estate — Красное сухое</t>
        </is>
      </c>
      <c r="R60" t="inlineStr">
        <is>
          <t>Совиньон Блан — Golubitskoe Estate — Белое сухое</t>
        </is>
      </c>
      <c r="S60" s="3" t="n">
        <v>0.9999994039535522</v>
      </c>
      <c r="T60" s="3" t="n">
        <v>1.637376101371046e-07</v>
      </c>
      <c r="U60" t="n">
        <v>1035.1</v>
      </c>
    </row>
    <row r="61">
      <c r="A61" t="inlineStr">
        <is>
          <t>96.08_22-08-2026_15-12-27.webp</t>
        </is>
      </c>
      <c r="B61" t="inlineStr">
        <is>
          <t>уверенно</t>
        </is>
      </c>
      <c r="C61" t="inlineStr">
        <is>
          <t>zhemchuzhnaya-9-czitron-shardone-1</t>
        </is>
      </c>
      <c r="D61" t="inlineStr">
        <is>
          <t>Жемчужная 9 Цитрон, Шардоне — АРАТТИ — Белое полусладкое</t>
        </is>
      </c>
      <c r="F61" t="inlineStr">
        <is>
          <t>zhemchuzhnaya-9-czitron-shardone-1</t>
        </is>
      </c>
      <c r="G61" t="inlineStr">
        <is>
          <t>czitronnyj-magaracha-sovinon-blan</t>
        </is>
      </c>
      <c r="H61" t="inlineStr">
        <is>
          <t>zhemchuzhnaya-9-aligote-czitron</t>
        </is>
      </c>
      <c r="I61" t="inlineStr">
        <is>
          <t>zhemchuzhnaya-9-czitron-shardone</t>
        </is>
      </c>
      <c r="J61" t="inlineStr">
        <is>
          <t>zhemchuzhnaya-9-sovinon-blan-aligote</t>
        </is>
      </c>
      <c r="K61">
        <f>IF(C61="","",IFERROR(MATCH(C61,F61:J61,0),"нет"))</f>
        <v/>
      </c>
      <c r="L61">
        <f>IF(C61="","",IF(K61=1,1,0))</f>
        <v/>
      </c>
      <c r="M61">
        <f>IF(C61="","",IF(ISNUMBER(K61),1,0))</f>
        <v/>
      </c>
      <c r="N61" t="inlineStr">
        <is>
          <t>Жемчужная 9 Цитрон, Шардоне — АРАТТИ — Белое полусладкое</t>
        </is>
      </c>
      <c r="O61" t="inlineStr">
        <is>
          <t>Жемчужная 9 Цитрон, Совиньон блан — АРАТТИ — Белое полусухое</t>
        </is>
      </c>
      <c r="P61" t="inlineStr">
        <is>
          <t>Жемчужная 9 Алиготе, Цитрон — АРАТТИ — Белое сухое</t>
        </is>
      </c>
      <c r="Q61" t="inlineStr">
        <is>
          <t>Жемчужная 9 Цитрон, Шардоне — АРАТТИ — Белое сухое</t>
        </is>
      </c>
      <c r="R61" t="inlineStr">
        <is>
          <t>Жемчужная 9 Совиньон блан, Алиготе — АРАТТИ — Белое сухое</t>
        </is>
      </c>
      <c r="S61" s="3" t="n">
        <v>0.9999848604202271</v>
      </c>
      <c r="T61" s="3" t="n">
        <v>8.764115477788437e-08</v>
      </c>
      <c r="U61" t="n">
        <v>897.2</v>
      </c>
    </row>
    <row r="62">
      <c r="A62" t="inlineStr">
        <is>
          <t>96.08_28-08-2026_16-29-50.webp</t>
        </is>
      </c>
      <c r="B62" t="inlineStr">
        <is>
          <t>уверенно</t>
        </is>
      </c>
      <c r="C62" t="inlineStr">
        <is>
          <t>golubitskoe-estate-merlo-krasnoe-suhoe-135</t>
        </is>
      </c>
      <c r="D62" t="inlineStr">
        <is>
          <t>Мерло — Golubitskoe Estate — Красное сухое</t>
        </is>
      </c>
      <c r="F62" t="inlineStr">
        <is>
          <t>golubitskoe-estate-merlo-krasnoe-suhoe-135</t>
        </is>
      </c>
      <c r="G62" t="inlineStr">
        <is>
          <t>golubitskoe-estate-merlo-rezerv-krasnoe-suhoe-135</t>
        </is>
      </c>
      <c r="H62" t="inlineStr">
        <is>
          <t>golubitskoe-estate-pino-nuar-rezerv-krasnoe-suhoe-132</t>
        </is>
      </c>
      <c r="I62" t="inlineStr">
        <is>
          <t>golubitskoe-estate-red-blend-kaberne-sovinon-krasnoe-suhoe-136</t>
        </is>
      </c>
      <c r="J62" t="inlineStr">
        <is>
          <t>golubitskoe-rose</t>
        </is>
      </c>
      <c r="K62">
        <f>IF(C62="","",IFERROR(MATCH(C62,F62:J62,0),"нет"))</f>
        <v/>
      </c>
      <c r="L62">
        <f>IF(C62="","",IF(K62=1,1,0))</f>
        <v/>
      </c>
      <c r="M62">
        <f>IF(C62="","",IF(ISNUMBER(K62),1,0))</f>
        <v/>
      </c>
      <c r="N62" t="inlineStr">
        <is>
          <t>Мерло — Golubitskoe Estate — Красное сухое</t>
        </is>
      </c>
      <c r="O62" t="inlineStr">
        <is>
          <t>Мерло Резерв — Golubitskoe Estate — Красное сухое</t>
        </is>
      </c>
      <c r="P62" t="inlineStr">
        <is>
          <t>Пино Нуар Резерв — Golubitskoe Estate — Красное сухое</t>
        </is>
      </c>
      <c r="Q62" t="inlineStr">
        <is>
          <t>Red Blend — Golubitskoe Estate — Красное сухое</t>
        </is>
      </c>
      <c r="R62" t="inlineStr">
        <is>
          <t>Golubitskoe Rose — Поместье Голубицкое — Розовое сухое</t>
        </is>
      </c>
      <c r="S62" s="3" t="n">
        <v>0.9999997615814209</v>
      </c>
      <c r="T62" s="3" t="n">
        <v>2.102433285244842e-07</v>
      </c>
      <c r="U62" t="n">
        <v>1026.7</v>
      </c>
    </row>
    <row r="63">
      <c r="A63" t="inlineStr">
        <is>
          <t>96.11_22-08-2026_21-29-20.webp</t>
        </is>
      </c>
      <c r="B63" t="inlineStr">
        <is>
          <t>нет в каталоге</t>
        </is>
      </c>
      <c r="F63" t="inlineStr">
        <is>
          <t>abrau-dyurso-imperatorskoe-bryut-shardone-beloe-12</t>
        </is>
      </c>
      <c r="G63" t="inlineStr">
        <is>
          <t>aristov-anima-millesimato-beloe-bryut</t>
        </is>
      </c>
      <c r="H63" t="inlineStr">
        <is>
          <t>abrau-dyurso-udelnoe-vedomstvo-imperatorskoe-beloe-bryut</t>
        </is>
      </c>
      <c r="I63" t="inlineStr">
        <is>
          <t>aristov-anima-pinot-grigio-blush</t>
        </is>
      </c>
      <c r="J63" t="inlineStr">
        <is>
          <t>abrau-dyurso-imperial-brut-vintage-shardone-beloe-bryut-12</t>
        </is>
      </c>
      <c r="K63">
        <f>IF(C63="","",IFERROR(MATCH(C63,F63:J63,0),"нет"))</f>
        <v/>
      </c>
      <c r="L63">
        <f>IF(C63="","",IF(K63=1,1,0))</f>
        <v/>
      </c>
      <c r="M63">
        <f>IF(C63="","",IF(ISNUMBER(K63),1,0))</f>
        <v/>
      </c>
      <c r="N63" t="inlineStr">
        <is>
          <t>Императорское брют — Абрау-Дюрсо — Белое брют</t>
        </is>
      </c>
      <c r="O63" t="inlineStr">
        <is>
          <t>Аристов ANIMA Millesimato белое брют — Кубань-Вино — Белое брют</t>
        </is>
      </c>
      <c r="P63" t="inlineStr">
        <is>
          <t>Абрау Дюрсо Удельное Ведомство Императорское белое брют — Абрау-Дюрсо — Белое брют</t>
        </is>
      </c>
      <c r="Q63" t="inlineStr">
        <is>
          <t>Аристов Anima Pinot Grigio Blush — Кубань-Вино — Розовое брют</t>
        </is>
      </c>
      <c r="R63" t="inlineStr">
        <is>
          <t>Империал. Brut Vintage — Абрау-Дюрсо — Белое брют</t>
        </is>
      </c>
      <c r="S63" s="3" t="n">
        <v>0.3911535143852234</v>
      </c>
      <c r="T63" s="3" t="n">
        <v>0.08727815002202988</v>
      </c>
      <c r="U63" t="n">
        <v>1167.5</v>
      </c>
    </row>
    <row r="64">
      <c r="A64" t="inlineStr">
        <is>
          <t>96.13_19-08-2026_19-33-10.webp</t>
        </is>
      </c>
      <c r="B64" t="inlineStr">
        <is>
          <t>уверенно</t>
        </is>
      </c>
      <c r="C64" t="inlineStr">
        <is>
          <t>roze-2</t>
        </is>
      </c>
      <c r="D64" t="inlineStr">
        <is>
          <t>Розе — Табия — Розовое сухое</t>
        </is>
      </c>
      <c r="F64" t="inlineStr">
        <is>
          <t>roze-2</t>
        </is>
      </c>
      <c r="G64" t="inlineStr">
        <is>
          <t>rozovoe-zoloto</t>
        </is>
      </c>
      <c r="H64" t="inlineStr">
        <is>
          <t>oleg</t>
        </is>
      </c>
      <c r="I64" t="inlineStr">
        <is>
          <t>bukovinka</t>
        </is>
      </c>
      <c r="J64" t="inlineStr">
        <is>
          <t>rubin-golodrigi</t>
        </is>
      </c>
      <c r="K64">
        <f>IF(C64="","",IFERROR(MATCH(C64,F64:J64,0),"нет"))</f>
        <v/>
      </c>
      <c r="L64">
        <f>IF(C64="","",IF(K64=1,1,0))</f>
        <v/>
      </c>
      <c r="M64">
        <f>IF(C64="","",IF(ISNUMBER(K64),1,0))</f>
        <v/>
      </c>
      <c r="N64" t="inlineStr">
        <is>
          <t>Розе — Табия — Розовое сухое</t>
        </is>
      </c>
      <c r="O64" t="inlineStr">
        <is>
          <t>Розовое золото — Табия — Розовое полусухое</t>
        </is>
      </c>
      <c r="P64" t="inlineStr">
        <is>
          <t>Олег — Табия — Белое сухое</t>
        </is>
      </c>
      <c r="Q64" t="inlineStr">
        <is>
          <t>Буковинка — Табия — Белое полусухое</t>
        </is>
      </c>
      <c r="R64" t="inlineStr">
        <is>
          <t>Рубин Голодриги  — Табия — Красное сухое</t>
        </is>
      </c>
      <c r="S64" s="3" t="n">
        <v>0.9999587535858154</v>
      </c>
      <c r="T64" s="3" t="n">
        <v>3.466184637090919e-07</v>
      </c>
      <c r="U64" t="n">
        <v>650.1</v>
      </c>
    </row>
    <row r="65">
      <c r="A65" t="inlineStr">
        <is>
          <t>96.15_22-08-2026_20-56-09.webp</t>
        </is>
      </c>
      <c r="B65" t="inlineStr">
        <is>
          <t>уверенно</t>
        </is>
      </c>
      <c r="C65" t="inlineStr">
        <is>
          <t>roze-2</t>
        </is>
      </c>
      <c r="D65" t="inlineStr">
        <is>
          <t>Розе — Табия — Розовое сухое</t>
        </is>
      </c>
      <c r="F65" t="inlineStr">
        <is>
          <t>roze-2</t>
        </is>
      </c>
      <c r="G65" t="inlineStr">
        <is>
          <t>rozovoe-zoloto</t>
        </is>
      </c>
      <c r="H65" t="inlineStr">
        <is>
          <t>bukovinka</t>
        </is>
      </c>
      <c r="I65" t="inlineStr">
        <is>
          <t>rubin-golodrigi</t>
        </is>
      </c>
      <c r="J65" t="inlineStr">
        <is>
          <t>oleg</t>
        </is>
      </c>
      <c r="K65">
        <f>IF(C65="","",IFERROR(MATCH(C65,F65:J65,0),"нет"))</f>
        <v/>
      </c>
      <c r="L65">
        <f>IF(C65="","",IF(K65=1,1,0))</f>
        <v/>
      </c>
      <c r="M65">
        <f>IF(C65="","",IF(ISNUMBER(K65),1,0))</f>
        <v/>
      </c>
      <c r="N65" t="inlineStr">
        <is>
          <t>Розе — Табия — Розовое сухое</t>
        </is>
      </c>
      <c r="O65" t="inlineStr">
        <is>
          <t>Розовое золото — Табия — Розовое полусухое</t>
        </is>
      </c>
      <c r="P65" t="inlineStr">
        <is>
          <t>Буковинка — Табия — Белое полусухое</t>
        </is>
      </c>
      <c r="Q65" t="inlineStr">
        <is>
          <t>Рубин Голодриги  — Табия — Красное сухое</t>
        </is>
      </c>
      <c r="R65" t="inlineStr">
        <is>
          <t>Олег — Табия — Белое сухое</t>
        </is>
      </c>
      <c r="S65" s="3" t="n">
        <v>0.9999995231628418</v>
      </c>
      <c r="T65" s="3" t="n">
        <v>1.855390650007394e-07</v>
      </c>
      <c r="U65" t="n">
        <v>747.7</v>
      </c>
    </row>
    <row r="66">
      <c r="A66" t="inlineStr">
        <is>
          <t>96.27_20-08-2026_16-26-30.webp</t>
        </is>
      </c>
      <c r="B66" t="inlineStr">
        <is>
          <t>уверенно</t>
        </is>
      </c>
      <c r="C66" t="inlineStr">
        <is>
          <t>zhemchuzhnaya-9-pino-nuar-muskat-rozovyj-1</t>
        </is>
      </c>
      <c r="D66" t="inlineStr">
        <is>
          <t>Жемчужная 9 Пино Нуар, Мускат розовый — АРАТТИ — Розовое полусухое</t>
        </is>
      </c>
      <c r="F66" t="inlineStr">
        <is>
          <t>zhemchuzhnaya-9-pino-nuar-muskat-rozovyj-2</t>
        </is>
      </c>
      <c r="G66" t="inlineStr">
        <is>
          <t>zhemchuzhnaya-9-pino-nuar-muskat-rozovyj-1</t>
        </is>
      </c>
      <c r="H66" t="inlineStr">
        <is>
          <t>zhemchuzhnaya-9-pino-nuar-muskat-rozovyj</t>
        </is>
      </c>
      <c r="I66" t="inlineStr">
        <is>
          <t>zhemchuzhnaya-9-muskat-rozovyj-pino-gri</t>
        </is>
      </c>
      <c r="J66" t="inlineStr">
        <is>
          <t>zhemchuzhnaya-9-muskat-rozovyj-kaberne-sovinon</t>
        </is>
      </c>
      <c r="K66">
        <f>IF(C66="","",IFERROR(MATCH(C66,F66:J66,0),"нет"))</f>
        <v/>
      </c>
      <c r="L66">
        <f>IF(C66="","",IF(K66=1,1,0))</f>
        <v/>
      </c>
      <c r="M66">
        <f>IF(C66="","",IF(ISNUMBER(K66),1,0))</f>
        <v/>
      </c>
      <c r="N66" t="inlineStr">
        <is>
          <t>Жемчужная 9 Пино нуар, Мускат Розовый — АРАТТИ — Розовое полусладкое</t>
        </is>
      </c>
      <c r="O66" t="inlineStr">
        <is>
          <t>Жемчужная 9 Пино Нуар, Мускат розовый — АРАТТИ — Розовое полусухое</t>
        </is>
      </c>
      <c r="P66" t="inlineStr">
        <is>
          <t>Жемчужная 9 Пино Нуар, Мускат Розовый — АРАТТИ — Розовое сухое</t>
        </is>
      </c>
      <c r="Q66" t="inlineStr">
        <is>
          <t>Жемчужная 9 Мускат Розовый, Пино гри — АРАТТИ — Розовое сухое</t>
        </is>
      </c>
      <c r="R66" t="inlineStr">
        <is>
          <t>Жемчужная 9 Мускат Розовый, Каберне Совиньон — АРАТТИ — Розовое полусладкое</t>
        </is>
      </c>
      <c r="S66" s="3" t="n">
        <v>0.9820134043693542</v>
      </c>
      <c r="T66" s="3" t="n">
        <v>4.065474357162202e-08</v>
      </c>
      <c r="U66" t="n">
        <v>973.5</v>
      </c>
    </row>
    <row r="67">
      <c r="A67" t="inlineStr">
        <is>
          <t>96.29_21-08-2026_19-39-02.webp</t>
        </is>
      </c>
      <c r="B67" t="inlineStr">
        <is>
          <t>не уверен</t>
        </is>
      </c>
      <c r="C67" t="inlineStr">
        <is>
          <t>denisov-winery-sovinon-blan-beloe-suhoe-115</t>
        </is>
      </c>
      <c r="D67" t="inlineStr">
        <is>
          <t>Совиньон Блан — Denisov Winery — Белое сухое</t>
        </is>
      </c>
      <c r="E67" t="inlineStr">
        <is>
          <t>этикетка немного другая. в slug черная, а на фото белая</t>
        </is>
      </c>
      <c r="F67" t="inlineStr">
        <is>
          <t>denisov-winery-sovinon-blan-beloe-suhoe-115</t>
        </is>
      </c>
      <c r="G67" t="inlineStr">
        <is>
          <t>dubinin-winery-sovinon-blan-beloe-suhoe-12</t>
        </is>
      </c>
      <c r="H67" t="inlineStr">
        <is>
          <t>zhemchuzhnaya-9-sovinon-blan-aligote</t>
        </is>
      </c>
      <c r="I67" t="inlineStr">
        <is>
          <t>blagolyubov-sovinon-blan-beloe-suhoe-125</t>
        </is>
      </c>
      <c r="J67" t="inlineStr">
        <is>
          <t>vinodelnya-myshako-sovinon-blan-avtorskaya-tehnologiya-mono-beloe-suhoe-128</t>
        </is>
      </c>
      <c r="K67">
        <f>IF(C67="","",IFERROR(MATCH(C67,F67:J67,0),"нет"))</f>
        <v/>
      </c>
      <c r="L67">
        <f>IF(C67="","",IF(K67=1,1,0))</f>
        <v/>
      </c>
      <c r="M67">
        <f>IF(C67="","",IF(ISNUMBER(K67),1,0))</f>
        <v/>
      </c>
      <c r="N67" t="inlineStr">
        <is>
          <t>Совиньон Блан — Denisov Winery — Белое сухое</t>
        </is>
      </c>
      <c r="O67" t="inlineStr">
        <is>
          <t>Совиньон Блан — Dubinin Winery — Белое сухое</t>
        </is>
      </c>
      <c r="P67" t="inlineStr">
        <is>
          <t>Жемчужная 9 Совиньон блан, Алиготе — АРАТТИ — Белое сухое</t>
        </is>
      </c>
      <c r="Q67" t="inlineStr">
        <is>
          <t>Совиньон Блан — Благолюбов — Белое сухое</t>
        </is>
      </c>
      <c r="R67" t="inlineStr">
        <is>
          <t>Совиньон Блан. Авторская технология. Моно — Мысхако — Белое сухое</t>
        </is>
      </c>
      <c r="S67" s="3" t="n">
        <v>0.9999998807907104</v>
      </c>
      <c r="T67" s="3" t="n">
        <v>8.764247638737288e-08</v>
      </c>
      <c r="U67" t="n">
        <v>959.3</v>
      </c>
    </row>
    <row r="68">
      <c r="A68" t="inlineStr">
        <is>
          <t>96.2_28-08-2026_09-13-27.webp</t>
        </is>
      </c>
      <c r="B68" t="inlineStr">
        <is>
          <t>нет в каталоге</t>
        </is>
      </c>
      <c r="F68" t="inlineStr">
        <is>
          <t>usadba-divnomorskoe-yuzhnyy-les-merlo-krasnoe-suhoe-137</t>
        </is>
      </c>
      <c r="G68" t="inlineStr">
        <is>
          <t>usadba-divnomorskoe-solnechnyy-veter-shardone-beloe-suhoe-125</t>
        </is>
      </c>
      <c r="H68" t="inlineStr">
        <is>
          <t>usadba-divnomorskoe-holodnyy-tuman-risling-beloe-suhoe-115</t>
        </is>
      </c>
      <c r="I68" t="inlineStr">
        <is>
          <t>usadba-divnomorskoe-solist-marselan-rozovoe-suhoe-115</t>
        </is>
      </c>
      <c r="J68" t="inlineStr">
        <is>
          <t>vinodelnya-vedernikov-vedernikov-tsimlyanskiy-chyornyy-tsimlyanskiy-chernyy-krasnoe-suhoe-14</t>
        </is>
      </c>
      <c r="K68">
        <f>IF(C68="","",IFERROR(MATCH(C68,F68:J68,0),"нет"))</f>
        <v/>
      </c>
      <c r="L68">
        <f>IF(C68="","",IF(K68=1,1,0))</f>
        <v/>
      </c>
      <c r="M68">
        <f>IF(C68="","",IF(ISNUMBER(K68),1,0))</f>
        <v/>
      </c>
      <c r="N68" t="inlineStr">
        <is>
          <t>Южный Лес — Усадьба Дивноморское — Красное сухое</t>
        </is>
      </c>
      <c r="O68" t="inlineStr">
        <is>
          <t>Солнечный Ветер — Усадьба Дивноморское — Белое сухое</t>
        </is>
      </c>
      <c r="P68" t="inlineStr">
        <is>
          <t>Холодный Туман — Усадьба Дивноморское — Белое сухое</t>
        </is>
      </c>
      <c r="Q68" t="inlineStr">
        <is>
          <t>Солист — Усадьба Дивноморское — Розовое сухое</t>
        </is>
      </c>
      <c r="R68" t="inlineStr">
        <is>
          <t>Ведерниковъ Цимлянский Чёрный — Ведерниковъ — Красное сухое</t>
        </is>
      </c>
      <c r="S68" s="3" t="n">
        <v>0.9999934434890747</v>
      </c>
      <c r="T68" s="3" t="n">
        <v>5.422212780104019e-06</v>
      </c>
      <c r="U68" t="n">
        <v>1693.2</v>
      </c>
    </row>
    <row r="69">
      <c r="A69" t="inlineStr">
        <is>
          <t>96.2_28-08-2026_19-25-29.webp</t>
        </is>
      </c>
      <c r="B69" t="inlineStr">
        <is>
          <t>нет в каталоге</t>
        </is>
      </c>
      <c r="F69" t="inlineStr">
        <is>
          <t>novyy-svet-dom-shampanskih-vin-rossiyskoe-shampanskoe-kollektsionnoe-bryut-beloe-novyy-svet-yubileynoe-risling-13</t>
        </is>
      </c>
      <c r="G69" t="inlineStr">
        <is>
          <t>derbent-vino-graf-vorontsov-bryut-beloe-sovinon-blan-105-125</t>
        </is>
      </c>
      <c r="H69" t="inlineStr">
        <is>
          <t>derbent-vino-graf-vorontsov-bryut-rozovoe-pervenets-magaracha-105-125</t>
        </is>
      </c>
      <c r="I69" t="inlineStr">
        <is>
          <t>novyy-svet-dom-shampanskih-vin-rossiyskoe-shampanskoe-kollektsionnoe-bryut-beloe-novyy-svet-zolotoy-risling-suhoe-13</t>
        </is>
      </c>
      <c r="J69" t="inlineStr">
        <is>
          <t>derbent-vino-graf-vorontsov-beloe-polusladkoe-sovinon-blan-105-125</t>
        </is>
      </c>
      <c r="K69">
        <f>IF(C69="","",IFERROR(MATCH(C69,F69:J69,0),"нет"))</f>
        <v/>
      </c>
      <c r="L69">
        <f>IF(C69="","",IF(K69=1,1,0))</f>
        <v/>
      </c>
      <c r="M69">
        <f>IF(C69="","",IF(ISNUMBER(K69),1,0))</f>
        <v/>
      </c>
      <c r="N69" t="inlineStr">
        <is>
          <t>Российское шампанское коллекционное брют белое «Новый Свет. Юбилейное» — Новый Свет. Дом шампанских вин — Белое брют</t>
        </is>
      </c>
      <c r="O69" t="inlineStr">
        <is>
          <t>Граф Воронцов. Брют белое — Дербент Вино — Белое брют</t>
        </is>
      </c>
      <c r="P69" t="inlineStr">
        <is>
          <t>Граф Воронцов. Брют розовое — Дербент Вино — Розовое брют</t>
        </is>
      </c>
      <c r="Q69" t="inlineStr">
        <is>
          <t>Российское шампанское коллекционное брют белое «Новый Свет. Золотой Рислинг» — Новый Свет. Дом шампанских вин — Белое сухое</t>
        </is>
      </c>
      <c r="R69" t="inlineStr">
        <is>
          <t>Граф Воронцов. Белое полусладкое — Дербент Вино — Белое полусладкое</t>
        </is>
      </c>
      <c r="S69" s="3" t="n">
        <v>0.1098318621516228</v>
      </c>
      <c r="T69" s="3" t="n">
        <v>0.8115537762641907</v>
      </c>
      <c r="U69" t="n">
        <v>1703.6</v>
      </c>
    </row>
    <row r="70">
      <c r="A70" t="inlineStr">
        <is>
          <t>96.31_09-09-2026_19-29-01.webp</t>
        </is>
      </c>
      <c r="B70" t="inlineStr">
        <is>
          <t>уверенно</t>
        </is>
      </c>
      <c r="C70" t="inlineStr">
        <is>
          <t>aratti-kaberne-po-belomu</t>
        </is>
      </c>
      <c r="D70" t="inlineStr">
        <is>
          <t>АРАТТИ Каберне по-белому — АРАТТИ — Красное сухое</t>
        </is>
      </c>
      <c r="F70" t="inlineStr">
        <is>
          <t>aratti-kaberne-po-belomu-1</t>
        </is>
      </c>
      <c r="G70" t="inlineStr">
        <is>
          <t>aratti-kaberne-po-belomu</t>
        </is>
      </c>
      <c r="H70" t="inlineStr">
        <is>
          <t>aratti-vremena-goda-saperavi-leto</t>
        </is>
      </c>
      <c r="I70" t="inlineStr">
        <is>
          <t>aratti-kaberne-sovinon-2021-krasnoe-suhoe</t>
        </is>
      </c>
      <c r="J70" t="inlineStr">
        <is>
          <t>aratti-shardone-beloe-suhoe</t>
        </is>
      </c>
      <c r="K70">
        <f>IF(C70="","",IFERROR(MATCH(C70,F70:J70,0),"нет"))</f>
        <v/>
      </c>
      <c r="L70">
        <f>IF(C70="","",IF(K70=1,1,0))</f>
        <v/>
      </c>
      <c r="M70">
        <f>IF(C70="","",IF(ISNUMBER(K70),1,0))</f>
        <v/>
      </c>
      <c r="N70" t="inlineStr">
        <is>
          <t>АРАТТИ Каберне по-белому — АРАТТИ — Розовое полусухое</t>
        </is>
      </c>
      <c r="O70" t="inlineStr">
        <is>
          <t>АРАТТИ Каберне по-белому — АРАТТИ — Красное сухое</t>
        </is>
      </c>
      <c r="P70" t="inlineStr">
        <is>
          <t>АРАТТИ Времена Года Саперави Лето — АРАТТИ — Красное сухое</t>
        </is>
      </c>
      <c r="Q70" t="inlineStr">
        <is>
          <t>АРАТТИ Каберне Совиньон 2021 красное сухое — АРАТТИ — Красное сухое</t>
        </is>
      </c>
      <c r="R70" t="inlineStr">
        <is>
          <t>АРАТТИ Шардоне белое сухое — АРАТТИ — Белое сухое</t>
        </is>
      </c>
      <c r="S70" s="3" t="n">
        <v>0.9999995231628418</v>
      </c>
      <c r="T70" s="3" t="n">
        <v>7.734418261406972e-08</v>
      </c>
      <c r="U70" t="n">
        <v>904.3</v>
      </c>
    </row>
    <row r="71">
      <c r="A71" t="inlineStr">
        <is>
          <t>96.31_21-08-2026_17-24-55.webp</t>
        </is>
      </c>
      <c r="B71" t="inlineStr">
        <is>
          <t>уверенно</t>
        </is>
      </c>
      <c r="C71" t="inlineStr">
        <is>
          <t>bukovinka</t>
        </is>
      </c>
      <c r="D71" t="inlineStr">
        <is>
          <t>Буковинка — Табия — Белое полусухое</t>
        </is>
      </c>
      <c r="F71" t="inlineStr">
        <is>
          <t>bukovinka</t>
        </is>
      </c>
      <c r="G71" t="inlineStr">
        <is>
          <t>rubin-golodrigi</t>
        </is>
      </c>
      <c r="H71" t="inlineStr">
        <is>
          <t>oleg</t>
        </is>
      </c>
      <c r="I71" t="inlineStr">
        <is>
          <t>kaberne-sovinon-2</t>
        </is>
      </c>
      <c r="J71" t="inlineStr">
        <is>
          <t>rozovoe-zoloto</t>
        </is>
      </c>
      <c r="K71">
        <f>IF(C71="","",IFERROR(MATCH(C71,F71:J71,0),"нет"))</f>
        <v/>
      </c>
      <c r="L71">
        <f>IF(C71="","",IF(K71=1,1,0))</f>
        <v/>
      </c>
      <c r="M71">
        <f>IF(C71="","",IF(ISNUMBER(K71),1,0))</f>
        <v/>
      </c>
      <c r="N71" t="inlineStr">
        <is>
          <t>Буковинка — Табия — Белое полусухое</t>
        </is>
      </c>
      <c r="O71" t="inlineStr">
        <is>
          <t>Рубин Голодриги  — Табия — Красное сухое</t>
        </is>
      </c>
      <c r="P71" t="inlineStr">
        <is>
          <t>Олег — Табия — Белое сухое</t>
        </is>
      </c>
      <c r="Q71" t="inlineStr">
        <is>
          <t>Каберне Совиньон — Табия — Красное сухое</t>
        </is>
      </c>
      <c r="R71" t="inlineStr">
        <is>
          <t>Розовое золото — Табия — Розовое полусухое</t>
        </is>
      </c>
      <c r="S71" s="3" t="n">
        <v>0.9999997615814209</v>
      </c>
      <c r="T71" s="3" t="n">
        <v>1.275190300020768e-07</v>
      </c>
      <c r="U71" t="n">
        <v>737.9</v>
      </c>
    </row>
    <row r="72">
      <c r="A72" t="inlineStr">
        <is>
          <t>96.3_08-09-2026_10-53-14.webp</t>
        </is>
      </c>
      <c r="B72" t="inlineStr">
        <is>
          <t>нет в каталоге</t>
        </is>
      </c>
      <c r="F72" t="inlineStr">
        <is>
          <t>fanagoriya-zelyonoe-vino-risling-tsitronnyy-magaracha-beloe-polusuhoe-11</t>
        </is>
      </c>
      <c r="G72" t="inlineStr">
        <is>
          <t>fanagoriya-beloe-polusladkoe</t>
        </is>
      </c>
      <c r="H72" t="inlineStr">
        <is>
          <t>fanagoriya-zelyonoe-vino-risling-tsitronnyy-magaracha-merlo-rozovoe-polusuhoe-11</t>
        </is>
      </c>
      <c r="I72" t="inlineStr">
        <is>
          <t>rozovoe-polusladkoe</t>
        </is>
      </c>
      <c r="J72" t="inlineStr">
        <is>
          <t>vinodelnya-pokrovskaya-risling-pokrovskoe-risling-reynskiy-beloe-suhoe-13</t>
        </is>
      </c>
      <c r="K72">
        <f>IF(C72="","",IFERROR(MATCH(C72,F72:J72,0),"нет"))</f>
        <v/>
      </c>
      <c r="L72">
        <f>IF(C72="","",IF(K72=1,1,0))</f>
        <v/>
      </c>
      <c r="M72">
        <f>IF(C72="","",IF(ISNUMBER(K72),1,0))</f>
        <v/>
      </c>
      <c r="N72" t="inlineStr">
        <is>
          <t>Зелёное вино. Рислинг - Цитронный Магарача — Фанагория — Белое полусухое</t>
        </is>
      </c>
      <c r="O72" t="inlineStr">
        <is>
          <t>Фанагория белое полусладкое — Фанагория — Белое полусладкое</t>
        </is>
      </c>
      <c r="P72" t="inlineStr">
        <is>
          <t>Зелёное вино. Рислинг - Цитронный Магарача - Мерло — Фанагория — Розовое полусухое</t>
        </is>
      </c>
      <c r="Q72" t="inlineStr">
        <is>
          <t>Розовое полусладкое — Фанагория — Розовое полусладкое</t>
        </is>
      </c>
      <c r="R72" t="inlineStr">
        <is>
          <t>Рислинг. Покровское — Винодельня Покровская — Белое сухое</t>
        </is>
      </c>
      <c r="S72" s="3" t="n">
        <v>0.7290216684341431</v>
      </c>
      <c r="T72" s="3" t="n">
        <v>6.183432560646906e-05</v>
      </c>
      <c r="U72" t="n">
        <v>1175.9</v>
      </c>
    </row>
    <row r="73">
      <c r="A73" t="inlineStr">
        <is>
          <t>96.3_28-08-2026_09-12-56.webp</t>
        </is>
      </c>
      <c r="B73" t="inlineStr">
        <is>
          <t>нет в каталоге</t>
        </is>
      </c>
      <c r="F73" t="inlineStr">
        <is>
          <t>usadba-divnomorskoe-yuzhnyy-les-merlo-krasnoe-suhoe-137</t>
        </is>
      </c>
      <c r="G73" t="inlineStr">
        <is>
          <t>usadba-divnomorskoe-solist-marselan-rozovoe-suhoe-115</t>
        </is>
      </c>
      <c r="H73" t="inlineStr">
        <is>
          <t>usadba-divnomorskoe-holodnyy-tuman-risling-beloe-suhoe-115</t>
        </is>
      </c>
      <c r="I73" t="inlineStr">
        <is>
          <t>usadba-divnomorskoe-solnechnyy-veter-shardone-beloe-suhoe-125</t>
        </is>
      </c>
      <c r="J73" t="inlineStr">
        <is>
          <t>vinodelnya-vedernikov-vedernikov-krasnostop-zolotovskiy-magnum-krasnoe-suhoe-145</t>
        </is>
      </c>
      <c r="K73">
        <f>IF(C73="","",IFERROR(MATCH(C73,F73:J73,0),"нет"))</f>
        <v/>
      </c>
      <c r="L73">
        <f>IF(C73="","",IF(K73=1,1,0))</f>
        <v/>
      </c>
      <c r="M73">
        <f>IF(C73="","",IF(ISNUMBER(K73),1,0))</f>
        <v/>
      </c>
      <c r="N73" t="inlineStr">
        <is>
          <t>Южный Лес — Усадьба Дивноморское — Красное сухое</t>
        </is>
      </c>
      <c r="O73" t="inlineStr">
        <is>
          <t>Солист — Усадьба Дивноморское — Розовое сухое</t>
        </is>
      </c>
      <c r="P73" t="inlineStr">
        <is>
          <t>Холодный Туман — Усадьба Дивноморское — Белое сухое</t>
        </is>
      </c>
      <c r="Q73" t="inlineStr">
        <is>
          <t>Солнечный Ветер — Усадьба Дивноморское — Белое сухое</t>
        </is>
      </c>
      <c r="R73" t="inlineStr">
        <is>
          <t>Ведерниковъ Красностоп Золотовский (магнум) — Ведерниковъ — Красное сухое</t>
        </is>
      </c>
      <c r="S73" s="3" t="n">
        <v>0.9999912977218628</v>
      </c>
      <c r="T73" s="3" t="n">
        <v>6.144158760434948e-06</v>
      </c>
      <c r="U73" t="n">
        <v>1679.3</v>
      </c>
    </row>
    <row r="74">
      <c r="A74" t="inlineStr">
        <is>
          <t>96.42_22-08-2026_21-29-43.webp</t>
        </is>
      </c>
      <c r="B74" t="inlineStr">
        <is>
          <t>нет в каталоге</t>
        </is>
      </c>
      <c r="F74" t="inlineStr">
        <is>
          <t>abrau-dyurso-udelnoe-vedomstvo-imperatorskoe-beloe-bryut</t>
        </is>
      </c>
      <c r="G74" t="inlineStr">
        <is>
          <t>abrau-dyurso-imperatorskoe-bryut-shardone-beloe-12</t>
        </is>
      </c>
      <c r="H74" t="inlineStr">
        <is>
          <t>abrau-dyurso-imperial-brut-lart-nouveau-shardone-beloe-bryut-105</t>
        </is>
      </c>
      <c r="I74" t="inlineStr">
        <is>
          <t>abrau-dyurso-imperial-kyuve-pino-nuar-rozovoe-bryut-125</t>
        </is>
      </c>
      <c r="J74" t="inlineStr">
        <is>
          <t>abrau-dyurso-imperial-brut-vintage-shardone-beloe-bryut-12</t>
        </is>
      </c>
      <c r="K74">
        <f>IF(C74="","",IFERROR(MATCH(C74,F74:J74,0),"нет"))</f>
        <v/>
      </c>
      <c r="L74">
        <f>IF(C74="","",IF(K74=1,1,0))</f>
        <v/>
      </c>
      <c r="M74">
        <f>IF(C74="","",IF(ISNUMBER(K74),1,0))</f>
        <v/>
      </c>
      <c r="N74" t="inlineStr">
        <is>
          <t>Абрау Дюрсо Удельное Ведомство Императорское белое брют — Абрау-Дюрсо — Белое брют</t>
        </is>
      </c>
      <c r="O74" t="inlineStr">
        <is>
          <t>Императорское брют — Абрау-Дюрсо — Белое брют</t>
        </is>
      </c>
      <c r="P74" t="inlineStr">
        <is>
          <t>Империал Brut L'Art Nouveau — Абрау-Дюрсо — Белое брют</t>
        </is>
      </c>
      <c r="Q74" t="inlineStr">
        <is>
          <t>Империал Кюве — Абрау-Дюрсо — Розовое брют</t>
        </is>
      </c>
      <c r="R74" t="inlineStr">
        <is>
          <t>Империал. Brut Vintage — Абрау-Дюрсо — Белое брют</t>
        </is>
      </c>
      <c r="S74" s="3" t="n">
        <v>3.288748075647163e-06</v>
      </c>
      <c r="T74" s="3" t="n">
        <v>0.9999964237213135</v>
      </c>
      <c r="U74" t="n">
        <v>1362.7</v>
      </c>
    </row>
    <row r="75">
      <c r="A75" t="inlineStr">
        <is>
          <t>96.44_05-09-2026_15-33-59.webp</t>
        </is>
      </c>
      <c r="B75" t="inlineStr">
        <is>
          <t>уверенно</t>
        </is>
      </c>
      <c r="C75" t="inlineStr">
        <is>
          <t>sovinon-blan</t>
        </is>
      </c>
      <c r="D75" t="inlineStr">
        <is>
          <t>Совиньон Блан — Литавщук. Litavshchuk vineyards &amp; winery — Белое полусладкое</t>
        </is>
      </c>
      <c r="F75" t="inlineStr">
        <is>
          <t>sovinon-blan</t>
        </is>
      </c>
      <c r="G75" t="inlineStr">
        <is>
          <t>blagolyubov-sovinon-blan-beloe-suhoe-125</t>
        </is>
      </c>
      <c r="H75" t="inlineStr">
        <is>
          <t>sovinon-blan-krasnaya-gorka</t>
        </is>
      </c>
      <c r="I75" t="inlineStr">
        <is>
          <t>dubinin-winery-sovinon-blan-beloe-suhoe-12</t>
        </is>
      </c>
      <c r="J75" t="inlineStr">
        <is>
          <t>orlov_sauvignon_blan</t>
        </is>
      </c>
      <c r="K75">
        <f>IF(C75="","",IFERROR(MATCH(C75,F75:J75,0),"нет"))</f>
        <v/>
      </c>
      <c r="L75">
        <f>IF(C75="","",IF(K75=1,1,0))</f>
        <v/>
      </c>
      <c r="M75">
        <f>IF(C75="","",IF(ISNUMBER(K75),1,0))</f>
        <v/>
      </c>
      <c r="N75" t="inlineStr">
        <is>
          <t>Совиньон Блан — Литавщук. Litavshchuk vineyards &amp; winery — Белое полусладкое</t>
        </is>
      </c>
      <c r="O75" t="inlineStr">
        <is>
          <t>Совиньон Блан — Благолюбов — Белое сухое</t>
        </is>
      </c>
      <c r="P75" t="inlineStr">
        <is>
          <t>Совиньон Блан — Галицкий и Галицкий — Белое сухое</t>
        </is>
      </c>
      <c r="Q75" t="inlineStr">
        <is>
          <t>Совиньон Блан — Dubinin Winery — Белое сухое</t>
        </is>
      </c>
      <c r="R75" t="inlineStr">
        <is>
          <t>Совиньон Блан — Винодельня Орлова — Белое сухое</t>
        </is>
      </c>
      <c r="S75" s="3" t="n">
        <v>1</v>
      </c>
      <c r="T75" s="3" t="n">
        <v>2.510999053129126e-08</v>
      </c>
      <c r="U75" t="n">
        <v>1286.3</v>
      </c>
    </row>
    <row r="76">
      <c r="A76" t="inlineStr">
        <is>
          <t>96.45_02-09-2026_14-19-06.webp</t>
        </is>
      </c>
      <c r="B76" t="inlineStr">
        <is>
          <t>нет в каталоге</t>
        </is>
      </c>
      <c r="F76" t="inlineStr">
        <is>
          <t>abrau-dyurso-russkoe-igristoe-polusladkoe-krasnoe-kaberne-sovinon-12</t>
        </is>
      </c>
      <c r="G76" t="inlineStr">
        <is>
          <t>abrau-dyurso-udelnoe-vedomstvo-imperatorskoe-beloe-polusladkoe</t>
        </is>
      </c>
      <c r="H76" t="inlineStr">
        <is>
          <t>abrau-dyurso-victor-dravigny-brut-rose-pino-nuar-rozovoe-bryut-12</t>
        </is>
      </c>
      <c r="I76" t="inlineStr">
        <is>
          <t>abrau-dyurso-imperial-brut-rose-pino-nuar-rozovoe-bryut-12</t>
        </is>
      </c>
      <c r="J76" t="inlineStr">
        <is>
          <t>abrau-dyurso-udelnoe-vedomstvo-imperatorskoe-beloe-bryut</t>
        </is>
      </c>
      <c r="K76">
        <f>IF(C76="","",IFERROR(MATCH(C76,F76:J76,0),"нет"))</f>
        <v/>
      </c>
      <c r="L76">
        <f>IF(C76="","",IF(K76=1,1,0))</f>
        <v/>
      </c>
      <c r="M76">
        <f>IF(C76="","",IF(ISNUMBER(K76),1,0))</f>
        <v/>
      </c>
      <c r="N76" t="inlineStr">
        <is>
          <t>Русское Игристое полусладкое красное — Абрау-Дюрсо — Красное полусладкое</t>
        </is>
      </c>
      <c r="O76" t="inlineStr">
        <is>
          <t>Абрау Дюрсо Удельное Ведомство Императорское белое полусладкое — Абрау-Дюрсо — Белое полусладкое</t>
        </is>
      </c>
      <c r="P76" t="inlineStr">
        <is>
          <t>Victor Dravigny. Brut Rose — Абрау-Дюрсо — Розовое брют</t>
        </is>
      </c>
      <c r="Q76" t="inlineStr">
        <is>
          <t>Империал Brut Rose — Абрау-Дюрсо — Розовое брют</t>
        </is>
      </c>
      <c r="R76" t="inlineStr">
        <is>
          <t>Абрау Дюрсо Удельное Ведомство Императорское белое брют — Абрау-Дюрсо — Белое брют</t>
        </is>
      </c>
      <c r="S76" s="3" t="n">
        <v>0.999803364276886</v>
      </c>
      <c r="T76" s="3" t="n">
        <v>1.994341573663405e-06</v>
      </c>
      <c r="U76" t="n">
        <v>1191.6</v>
      </c>
    </row>
    <row r="77">
      <c r="A77" t="inlineStr">
        <is>
          <t>96.45_19-08-2026_19-35-28.webp</t>
        </is>
      </c>
      <c r="B77" t="inlineStr">
        <is>
          <t>не уверен</t>
        </is>
      </c>
      <c r="C77" t="inlineStr">
        <is>
          <t>czitronnyj-magaracha</t>
        </is>
      </c>
      <c r="D77" t="inlineStr">
        <is>
          <t>Цитрон — Табия — Белое сухое</t>
        </is>
      </c>
      <c r="E77" t="inlineStr">
        <is>
          <t>в slug сухое, а нужно полусухое, но полусухого нет</t>
        </is>
      </c>
      <c r="F77" t="inlineStr">
        <is>
          <t>czitronnyj-magaracha</t>
        </is>
      </c>
      <c r="G77" t="inlineStr">
        <is>
          <t>risling-1</t>
        </is>
      </c>
      <c r="H77" t="inlineStr">
        <is>
          <t>rubin-golodrigi</t>
        </is>
      </c>
      <c r="I77" t="inlineStr">
        <is>
          <t>oleg</t>
        </is>
      </c>
      <c r="J77" t="inlineStr">
        <is>
          <t>bukovinka</t>
        </is>
      </c>
      <c r="K77">
        <f>IF(C77="","",IFERROR(MATCH(C77,F77:J77,0),"нет"))</f>
        <v/>
      </c>
      <c r="L77">
        <f>IF(C77="","",IF(K77=1,1,0))</f>
        <v/>
      </c>
      <c r="M77">
        <f>IF(C77="","",IF(ISNUMBER(K77),1,0))</f>
        <v/>
      </c>
      <c r="N77" t="inlineStr">
        <is>
          <t>Цитрон — Табия — Белое сухое</t>
        </is>
      </c>
      <c r="O77" t="inlineStr">
        <is>
          <t>Рислинг — Табия — Белое полусухое</t>
        </is>
      </c>
      <c r="P77" t="inlineStr">
        <is>
          <t>Рубин Голодриги  — Табия — Красное сухое</t>
        </is>
      </c>
      <c r="Q77" t="inlineStr">
        <is>
          <t>Олег — Табия — Белое сухое</t>
        </is>
      </c>
      <c r="R77" t="inlineStr">
        <is>
          <t>Буковинка — Табия — Белое полусухое</t>
        </is>
      </c>
      <c r="S77" s="3" t="n">
        <v>0.9999998807907104</v>
      </c>
      <c r="T77" s="3" t="n">
        <v>7.734421103577915e-08</v>
      </c>
      <c r="U77" t="n">
        <v>752.2</v>
      </c>
    </row>
    <row r="78">
      <c r="A78" t="inlineStr">
        <is>
          <t>96.53_03-09-2026_16-39-17.webp</t>
        </is>
      </c>
      <c r="B78" t="inlineStr">
        <is>
          <t>нет в каталоге</t>
        </is>
      </c>
      <c r="F78" t="inlineStr">
        <is>
          <t>fanagoriya-beloe-polusladkoe</t>
        </is>
      </c>
      <c r="G78" t="inlineStr">
        <is>
          <t>rozovoe-polusladkoe</t>
        </is>
      </c>
      <c r="H78" t="inlineStr">
        <is>
          <t>fanagoriya-fanagoriya-blanc-de-blancs-beloe-iz-belogo-shardone-igristoe-bryut-beloe-11-13</t>
        </is>
      </c>
      <c r="I78" t="inlineStr">
        <is>
          <t>fanagoriya-zelyonoe-vino-risling-tsitronnyy-magaracha-merlo-rozovoe-polusuhoe-11</t>
        </is>
      </c>
      <c r="J78" t="inlineStr">
        <is>
          <t>fanagoriya-fanagoria-extra-brut-rose-2019-pino-nuar-igristoe-bryut-rozovoe-ekstra-bryut-12</t>
        </is>
      </c>
      <c r="K78">
        <f>IF(C78="","",IFERROR(MATCH(C78,F78:J78,0),"нет"))</f>
        <v/>
      </c>
      <c r="L78">
        <f>IF(C78="","",IF(K78=1,1,0))</f>
        <v/>
      </c>
      <c r="M78">
        <f>IF(C78="","",IF(ISNUMBER(K78),1,0))</f>
        <v/>
      </c>
      <c r="N78" t="inlineStr">
        <is>
          <t>Фанагория белое полусладкое — Фанагория — Белое полусладкое</t>
        </is>
      </c>
      <c r="O78" t="inlineStr">
        <is>
          <t>Розовое полусладкое — Фанагория — Розовое полусладкое</t>
        </is>
      </c>
      <c r="P78" t="inlineStr">
        <is>
          <t>Фанагория. Blanc de Blancs. Белое из белого — Фанагория — Белое брют</t>
        </is>
      </c>
      <c r="Q78" t="inlineStr">
        <is>
          <t>Зелёное вино. Рислинг - Цитронный Магарача - Мерло — Фанагория — Розовое полусухое</t>
        </is>
      </c>
      <c r="R78" t="inlineStr">
        <is>
          <t>Fanagoria Extra Brut Rose 2019 — Фанагория — Розовое экстра брют</t>
        </is>
      </c>
      <c r="S78" s="3" t="n">
        <v>0.9845525026321411</v>
      </c>
      <c r="T78" s="3" t="n">
        <v>0.005854363087564707</v>
      </c>
      <c r="U78" t="n">
        <v>1244</v>
      </c>
    </row>
    <row r="79">
      <c r="A79" t="inlineStr">
        <is>
          <t>96.54_04-09-2026_19-30-52.webp</t>
        </is>
      </c>
      <c r="B79" t="inlineStr">
        <is>
          <t>уверенно</t>
        </is>
      </c>
      <c r="C79" t="inlineStr">
        <is>
          <t>denisov-winery-risling-beloe-suhoe-115</t>
        </is>
      </c>
      <c r="D79" t="inlineStr">
        <is>
          <t>Рислинг — Denisov Winery — Белое сухое</t>
        </is>
      </c>
      <c r="F79" t="inlineStr">
        <is>
          <t>denisov-winery-risling-beloe-suhoe-115</t>
        </is>
      </c>
      <c r="G79" t="inlineStr">
        <is>
          <t>dubinin-winery-risling-beloe-suhoe-12</t>
        </is>
      </c>
      <c r="H79" t="inlineStr">
        <is>
          <t>risling-2</t>
        </is>
      </c>
      <c r="I79" t="inlineStr">
        <is>
          <t>vinodelnya-78-aligote-otbornoe-beloe-suhoe-12</t>
        </is>
      </c>
      <c r="J79" t="inlineStr">
        <is>
          <t>belbek-rkatsiteli-barrik-beloe-suhoe-13</t>
        </is>
      </c>
      <c r="K79">
        <f>IF(C79="","",IFERROR(MATCH(C79,F79:J79,0),"нет"))</f>
        <v/>
      </c>
      <c r="L79">
        <f>IF(C79="","",IF(K79=1,1,0))</f>
        <v/>
      </c>
      <c r="M79">
        <f>IF(C79="","",IF(ISNUMBER(K79),1,0))</f>
        <v/>
      </c>
      <c r="N79" t="inlineStr">
        <is>
          <t>Рислинг — Denisov Winery — Белое сухое</t>
        </is>
      </c>
      <c r="O79" t="inlineStr">
        <is>
          <t>Рислинг — Dubinin Winery — Белое сухое</t>
        </is>
      </c>
      <c r="P79" t="inlineStr">
        <is>
          <t>Рислинг  — Литавщук. Litavshchuk vineyards &amp; winery — Белое полусухое</t>
        </is>
      </c>
      <c r="Q79" t="inlineStr">
        <is>
          <t>Алиготе Отборное — Винодельня 78 — Белое сухое</t>
        </is>
      </c>
      <c r="R79" t="inlineStr">
        <is>
          <t>Ркацители Баррик — Бельбек — Белое сухое</t>
        </is>
      </c>
      <c r="S79" s="3" t="n">
        <v>0.9999998807907104</v>
      </c>
      <c r="T79" s="3" t="n">
        <v>7.734421103577915e-08</v>
      </c>
      <c r="U79" t="n">
        <v>1241.9</v>
      </c>
    </row>
    <row r="80">
      <c r="A80" t="inlineStr">
        <is>
          <t>96.55_30-08-2026_19-34-31.webp</t>
        </is>
      </c>
      <c r="B80" t="inlineStr">
        <is>
          <t>уверенно</t>
        </is>
      </c>
      <c r="C80" t="inlineStr">
        <is>
          <t>novyy-svet-dom-shampanskih-vin-novyy-svet-polusladkoe-roze-shardone-rozovoe-115</t>
        </is>
      </c>
      <c r="D80" t="inlineStr">
        <is>
          <t>Новый Свет полусладкое розе — Новый Свет. Дом шампанских вин — Розовое полусладкое</t>
        </is>
      </c>
      <c r="F80" t="inlineStr">
        <is>
          <t>novyy-svet-dom-shampanskih-vin-novyy-svet-polusladkoe-roze-shardone-rozovoe-115</t>
        </is>
      </c>
      <c r="G80" t="inlineStr">
        <is>
          <t>novyy-svet-dom-shampanskih-vin-rossiyskoe-shampanskoe-vyderzhannoe-polusladkoe-rozovoe-novyy-svet-shardone-125</t>
        </is>
      </c>
      <c r="H80" t="inlineStr">
        <is>
          <t>novyj-svet-polusladkoe</t>
        </is>
      </c>
      <c r="I80" t="inlineStr">
        <is>
          <t>novyj-svet-vyderzhannoe-bryut</t>
        </is>
      </c>
      <c r="J80" t="inlineStr">
        <is>
          <t>novyj-svet-polusuhoe-kollekczionnoe</t>
        </is>
      </c>
      <c r="K80">
        <f>IF(C80="","",IFERROR(MATCH(C80,F80:J80,0),"нет"))</f>
        <v/>
      </c>
      <c r="L80">
        <f>IF(C80="","",IF(K80=1,1,0))</f>
        <v/>
      </c>
      <c r="M80">
        <f>IF(C80="","",IF(ISNUMBER(K80),1,0))</f>
        <v/>
      </c>
      <c r="N80" t="inlineStr">
        <is>
          <t>Новый Свет полусладкое розе — Новый Свет. Дом шампанских вин — Розовое полусладкое</t>
        </is>
      </c>
      <c r="O80" t="inlineStr">
        <is>
          <t>Российское шампанское выдержанное полусладкое розовое «Новый Свет» — Новый Свет. Дом шампанских вин — Розовое полусладкое</t>
        </is>
      </c>
      <c r="P80" t="inlineStr">
        <is>
          <t>Новый Свет полусладкое — Новый Свет. Дом шампанских вин — Белое полусладкое</t>
        </is>
      </c>
      <c r="Q80" t="inlineStr">
        <is>
          <t>Новый Свет выдержанное брют — Новый Свет. Дом шампанских вин — Белое брют</t>
        </is>
      </c>
      <c r="R80" t="inlineStr">
        <is>
          <t>Новый Свет полусухое коллекционное — Новый Свет. Дом шампанских вин — Белое полусухое</t>
        </is>
      </c>
      <c r="S80" s="3" t="n">
        <v>0.9147882461547852</v>
      </c>
      <c r="T80" s="3" t="n">
        <v>3.008518888236722e-06</v>
      </c>
      <c r="U80" t="n">
        <v>1245.6</v>
      </c>
    </row>
    <row r="81">
      <c r="A81" t="inlineStr">
        <is>
          <t>96.58_05-09-2026_16-05-04.webp</t>
        </is>
      </c>
      <c r="B81" t="inlineStr">
        <is>
          <t>уверенно</t>
        </is>
      </c>
      <c r="C81" t="inlineStr">
        <is>
          <t>fanagoriya-zelyonoe-vino-risling-tsitronnyy-magaracha-beloe-polusuhoe-11</t>
        </is>
      </c>
      <c r="D81" t="inlineStr">
        <is>
          <t>Зелёное вино. Рислинг - Цитронный Магарача — Фанагория — Белое полусухое</t>
        </is>
      </c>
      <c r="F81" t="inlineStr">
        <is>
          <t>fanagoriya-zelyonoe-vino-risling-tsitronnyy-magaracha-beloe-polusuhoe-11</t>
        </is>
      </c>
      <c r="G81" t="inlineStr">
        <is>
          <t>fanagoriya-zelyonoe-vino-risling-tsitronnyy-magaracha-merlo-rozovoe-polusuhoe-11</t>
        </is>
      </c>
      <c r="H81" t="inlineStr">
        <is>
          <t>fanagoriya-beloe-polusladkoe</t>
        </is>
      </c>
      <c r="I81" t="inlineStr">
        <is>
          <t>rozovoe-polusladkoe</t>
        </is>
      </c>
      <c r="J81" t="inlineStr">
        <is>
          <t>eleonora</t>
        </is>
      </c>
      <c r="K81">
        <f>IF(C81="","",IFERROR(MATCH(C81,F81:J81,0),"нет"))</f>
        <v/>
      </c>
      <c r="L81">
        <f>IF(C81="","",IF(K81=1,1,0))</f>
        <v/>
      </c>
      <c r="M81">
        <f>IF(C81="","",IF(ISNUMBER(K81),1,0))</f>
        <v/>
      </c>
      <c r="N81" t="inlineStr">
        <is>
          <t>Зелёное вино. Рислинг - Цитронный Магарача — Фанагория — Белое полусухое</t>
        </is>
      </c>
      <c r="O81" t="inlineStr">
        <is>
          <t>Зелёное вино. Рислинг - Цитронный Магарача - Мерло — Фанагория — Розовое полусухое</t>
        </is>
      </c>
      <c r="P81" t="inlineStr">
        <is>
          <t>Фанагория белое полусладкое — Фанагория — Белое полусладкое</t>
        </is>
      </c>
      <c r="Q81" t="inlineStr">
        <is>
          <t>Розовое полусладкое — Фанагория — Розовое полусладкое</t>
        </is>
      </c>
      <c r="R81" t="inlineStr">
        <is>
          <t>Eleonora, 2021 — WINEMAFIA — Белое сухое</t>
        </is>
      </c>
      <c r="S81" s="3" t="n">
        <v>0.9999998807907104</v>
      </c>
      <c r="T81" s="3" t="n">
        <v>6.023573462243803e-08</v>
      </c>
      <c r="U81" t="n">
        <v>1124.9</v>
      </c>
    </row>
    <row r="82">
      <c r="A82" t="inlineStr">
        <is>
          <t>96.61_28-08-2026_09-16-27.webp</t>
        </is>
      </c>
      <c r="B82" t="inlineStr">
        <is>
          <t>нет в каталоге</t>
        </is>
      </c>
      <c r="F82" t="inlineStr">
        <is>
          <t>balaklava-muskat-beloe-polusladkoe</t>
        </is>
      </c>
      <c r="G82" t="inlineStr">
        <is>
          <t>balaklava-bryut-rezerv</t>
        </is>
      </c>
      <c r="H82" t="inlineStr">
        <is>
          <t>balaklava-muskat</t>
        </is>
      </c>
      <c r="I82" t="inlineStr">
        <is>
          <t>balaklava-pino-nuar</t>
        </is>
      </c>
      <c r="J82" t="inlineStr">
        <is>
          <t>shardone-balaklava</t>
        </is>
      </c>
      <c r="K82">
        <f>IF(C82="","",IFERROR(MATCH(C82,F82:J82,0),"нет"))</f>
        <v/>
      </c>
      <c r="L82">
        <f>IF(C82="","",IF(K82=1,1,0))</f>
        <v/>
      </c>
      <c r="M82">
        <f>IF(C82="","",IF(ISNUMBER(K82),1,0))</f>
        <v/>
      </c>
      <c r="N82" t="inlineStr">
        <is>
          <t>Балаклава Мускат белое полусладкое — Золотая Балка — Белое полусладкое</t>
        </is>
      </c>
      <c r="O82" t="inlineStr">
        <is>
          <t>Балаклава Брют Резерв — Золотая Балка — Белое брют</t>
        </is>
      </c>
      <c r="P82" t="inlineStr">
        <is>
          <t>Балаклава Мускат — Золотая Балка — Белое брют</t>
        </is>
      </c>
      <c r="Q82" t="inlineStr">
        <is>
          <t>Балаклава Пино Нуар — Золотая Балка — Розовое брют</t>
        </is>
      </c>
      <c r="R82" t="inlineStr">
        <is>
          <t>Шардоне Балаклава  — Золотая Балка — Белое брют</t>
        </is>
      </c>
      <c r="S82" s="3" t="n">
        <v>0.9999996423721313</v>
      </c>
      <c r="T82" s="3" t="n">
        <v>8.764245507109081e-08</v>
      </c>
      <c r="U82" t="n">
        <v>2136.6</v>
      </c>
    </row>
    <row r="83">
      <c r="A83" t="inlineStr">
        <is>
          <t>96.62_07-09-2026_18-12-27.webp</t>
        </is>
      </c>
      <c r="B83" t="inlineStr">
        <is>
          <t>уверенно</t>
        </is>
      </c>
      <c r="C83" t="inlineStr">
        <is>
          <t>fanagoriya-zelyonoe-vino-risling-tsitronnyy-magaracha-beloe-polusuhoe-11</t>
        </is>
      </c>
      <c r="D83" t="inlineStr">
        <is>
          <t>Зелёное вино. Рислинг - Цитронный Магарача — Фанагория — Белое полусухое</t>
        </is>
      </c>
      <c r="F83" t="inlineStr">
        <is>
          <t>fanagoriya-zelyonoe-vino-risling-tsitronnyy-magaracha-beloe-polusuhoe-11</t>
        </is>
      </c>
      <c r="G83" t="inlineStr">
        <is>
          <t>fanagoriya-zelyonoe-vino-risling-tsitronnyy-magaracha-merlo-rozovoe-polusuhoe-11</t>
        </is>
      </c>
      <c r="H83" t="inlineStr">
        <is>
          <t>fanagoriya-100-ottenkov-shardone-beloe-suhoe-14</t>
        </is>
      </c>
      <c r="I83" t="inlineStr">
        <is>
          <t>fanagoriya-beloe-polusladkoe</t>
        </is>
      </c>
      <c r="J83" t="inlineStr">
        <is>
          <t>rozovoe-polusladkoe</t>
        </is>
      </c>
      <c r="K83">
        <f>IF(C83="","",IFERROR(MATCH(C83,F83:J83,0),"нет"))</f>
        <v/>
      </c>
      <c r="L83">
        <f>IF(C83="","",IF(K83=1,1,0))</f>
        <v/>
      </c>
      <c r="M83">
        <f>IF(C83="","",IF(ISNUMBER(K83),1,0))</f>
        <v/>
      </c>
      <c r="N83" t="inlineStr">
        <is>
          <t>Зелёное вино. Рислинг - Цитронный Магарача — Фанагория — Белое полусухое</t>
        </is>
      </c>
      <c r="O83" t="inlineStr">
        <is>
          <t>Зелёное вино. Рислинг - Цитронный Магарача - Мерло — Фанагория — Розовое полусухое</t>
        </is>
      </c>
      <c r="P83" t="inlineStr">
        <is>
          <t>100 оттенков. Шардоне — Фанагория — Белое сухое</t>
        </is>
      </c>
      <c r="Q83" t="inlineStr">
        <is>
          <t>Фанагория белое полусладкое — Фанагория — Белое полусладкое</t>
        </is>
      </c>
      <c r="R83" t="inlineStr">
        <is>
          <t>Розовое полусладкое — Фанагория — Розовое полусладкое</t>
        </is>
      </c>
      <c r="S83" s="3" t="n">
        <v>0.9999998807907104</v>
      </c>
      <c r="T83" s="3" t="n">
        <v>6.825602838489431e-08</v>
      </c>
      <c r="U83" t="n">
        <v>1223.4</v>
      </c>
    </row>
    <row r="84">
      <c r="A84" t="inlineStr">
        <is>
          <t>96.64_26-08-2026_16-52-37.webp</t>
        </is>
      </c>
      <c r="B84" t="inlineStr">
        <is>
          <t>нет в каталоге</t>
        </is>
      </c>
      <c r="F84" t="inlineStr">
        <is>
          <t>valeriy-zaharin-bastardo-kefesiya-avtohtonnoe-vino-kryma-bastardo-magarachskiy-krasnoe-suhoe-115</t>
        </is>
      </c>
      <c r="G84" t="inlineStr">
        <is>
          <t>valeriy-zaharin-avtorskoe-vino-ot-valeriya-zaharina-aleatiko-rozovoe-suhoe-115</t>
        </is>
      </c>
      <c r="H84" t="inlineStr">
        <is>
          <t>valeriy-zaharin-avtorskoe-vino-ot-valeriya-zaharina-bastardo-bastardo-magarachskiy-krasnoe-suhoe-12</t>
        </is>
      </c>
      <c r="I84" t="inlineStr">
        <is>
          <t>vinodelnya-begildeeva-kaberne-sovinon-krasnoe-suhoe-14</t>
        </is>
      </c>
      <c r="J84" t="inlineStr">
        <is>
          <t>valeriy-zaharin-avtorskoe-vino-ot-valeriya-zaharina-krasnoe-pino-nuar-suhoe-125</t>
        </is>
      </c>
      <c r="K84">
        <f>IF(C84="","",IFERROR(MATCH(C84,F84:J84,0),"нет"))</f>
        <v/>
      </c>
      <c r="L84">
        <f>IF(C84="","",IF(K84=1,1,0))</f>
        <v/>
      </c>
      <c r="M84">
        <f>IF(C84="","",IF(ISNUMBER(K84),1,0))</f>
        <v/>
      </c>
      <c r="N84" t="inlineStr">
        <is>
          <t>Бастардо - Кефесия. Автохтонное вино Крыма — Валерий Захарьин — Красное сухое</t>
        </is>
      </c>
      <c r="O84" t="inlineStr">
        <is>
          <t>Авторское вино от Валерия Захарьина. Алеатико — Валерий Захарьин — Розовое сухое</t>
        </is>
      </c>
      <c r="P84" t="inlineStr">
        <is>
          <t>Авторское вино от Валерия Захарьина. Бастардо — Валерий Захарьин — Красное сухое</t>
        </is>
      </c>
      <c r="Q84" t="inlineStr">
        <is>
          <t>Каберне Совиньон — Винодельня Бегильдеева — Красное сухое</t>
        </is>
      </c>
      <c r="R84" t="inlineStr">
        <is>
          <t>Авторское вино от Валерия Захарьина. Красное — Валерий Захарьин — Красное сухое</t>
        </is>
      </c>
      <c r="S84" s="3" t="n">
        <v>0.9994949102401733</v>
      </c>
      <c r="T84" s="3" t="n">
        <v>1.552715616526257e-06</v>
      </c>
      <c r="U84" t="n">
        <v>950.9</v>
      </c>
    </row>
    <row r="85">
      <c r="A85" t="inlineStr">
        <is>
          <t>96.65_02-09-2026_12-08-51.webp</t>
        </is>
      </c>
      <c r="B85" t="inlineStr">
        <is>
          <t>уверенно</t>
        </is>
      </c>
      <c r="C85" t="inlineStr">
        <is>
          <t>kaberne-sovinon-3</t>
        </is>
      </c>
      <c r="D85" t="inlineStr">
        <is>
          <t>Каберне Совиньон — Литавщук. Litavshchuk vineyards &amp; winery — Красное полусухое</t>
        </is>
      </c>
      <c r="F85" t="inlineStr">
        <is>
          <t>kaberne-sovinon-3</t>
        </is>
      </c>
      <c r="G85" t="inlineStr">
        <is>
          <t>vinodelnya-begildeeva-kaberne-sovinon-krasnoe-suhoe-14</t>
        </is>
      </c>
      <c r="H85" t="inlineStr">
        <is>
          <t>vinodelnya-begildeeva-kaberne-sovinon-merlo-krasnoe-suhoe-14</t>
        </is>
      </c>
      <c r="I85" t="inlineStr">
        <is>
          <t>kaberne-sovinon-1</t>
        </is>
      </c>
      <c r="J85" t="inlineStr">
        <is>
          <t>kaberne-sovinon-4</t>
        </is>
      </c>
      <c r="K85">
        <f>IF(C85="","",IFERROR(MATCH(C85,F85:J85,0),"нет"))</f>
        <v/>
      </c>
      <c r="L85">
        <f>IF(C85="","",IF(K85=1,1,0))</f>
        <v/>
      </c>
      <c r="M85">
        <f>IF(C85="","",IF(ISNUMBER(K85),1,0))</f>
        <v/>
      </c>
      <c r="N85" t="inlineStr">
        <is>
          <t>Каберне Совиньон — Литавщук. Litavshchuk vineyards &amp; winery — Красное полусухое</t>
        </is>
      </c>
      <c r="O85" t="inlineStr">
        <is>
          <t>Каберне Совиньон — Винодельня Бегильдеева — Красное сухое</t>
        </is>
      </c>
      <c r="P85" t="inlineStr">
        <is>
          <t>Каберне Совиньон – Мерло — Винодельня Бегильдеева — Красное сухое</t>
        </is>
      </c>
      <c r="Q85" t="inlineStr">
        <is>
          <t>Каберне Совиньон — Галицкий и Галицкий — Красное сухое</t>
        </is>
      </c>
      <c r="R85" t="inlineStr">
        <is>
          <t>Каберне Совиньон — Усадьба Перовских — Красное сухое</t>
        </is>
      </c>
      <c r="S85" s="3" t="n">
        <v>0.9999996423721313</v>
      </c>
      <c r="T85" s="3" t="n">
        <v>7.734418971949708e-08</v>
      </c>
      <c r="U85" t="n">
        <v>1327</v>
      </c>
    </row>
    <row r="86">
      <c r="A86" t="inlineStr">
        <is>
          <t>96.66_22-08-2026_20-44-40.webp</t>
        </is>
      </c>
      <c r="B86" t="inlineStr">
        <is>
          <t>уверенно</t>
        </is>
      </c>
      <c r="C86" t="inlineStr">
        <is>
          <t>perovskih_polusuhoe_krasnoe</t>
        </is>
      </c>
      <c r="D86" t="inlineStr">
        <is>
          <t>Полусухое Красное — Усадьба Перовских — Красное полусухое</t>
        </is>
      </c>
      <c r="F86" t="inlineStr">
        <is>
          <t>perovskih_polusuhoe_krasnoe</t>
        </is>
      </c>
      <c r="G86" t="inlineStr">
        <is>
          <t>perovskih_polusladkoe_krasnoe</t>
        </is>
      </c>
      <c r="H86" t="inlineStr">
        <is>
          <t>perovskih_polusladkoe_beloe</t>
        </is>
      </c>
      <c r="I86" t="inlineStr">
        <is>
          <t>rozovoe-polusuhoe</t>
        </is>
      </c>
      <c r="J86" t="inlineStr">
        <is>
          <t>perovskih_polusladkoe_rosovoe</t>
        </is>
      </c>
      <c r="K86">
        <f>IF(C86="","",IFERROR(MATCH(C86,F86:J86,0),"нет"))</f>
        <v/>
      </c>
      <c r="L86">
        <f>IF(C86="","",IF(K86=1,1,0))</f>
        <v/>
      </c>
      <c r="M86">
        <f>IF(C86="","",IF(ISNUMBER(K86),1,0))</f>
        <v/>
      </c>
      <c r="N86" t="inlineStr">
        <is>
          <t>Полусухое Красное — Усадьба Перовских — Красное полусухое</t>
        </is>
      </c>
      <c r="O86" t="inlineStr">
        <is>
          <t>Полусладкое Красное — Усадьба Перовских — Красное полусладкое</t>
        </is>
      </c>
      <c r="P86" t="inlineStr">
        <is>
          <t>Полусладкое Белое  — Усадьба Перовских — Белое полусладкое</t>
        </is>
      </c>
      <c r="Q86" t="inlineStr">
        <is>
          <t>Розовое полусухое — Усадьба Перовских — Розовое полусухое</t>
        </is>
      </c>
      <c r="R86" t="inlineStr">
        <is>
          <t>Полусладкое розовое — Усадьба Перовских — Розовое полусладкое</t>
        </is>
      </c>
      <c r="S86" s="3" t="n">
        <v>0.7741974592208862</v>
      </c>
      <c r="T86" s="3" t="n">
        <v>0.0300188921391964</v>
      </c>
      <c r="U86" t="n">
        <v>1053</v>
      </c>
    </row>
    <row r="87">
      <c r="A87" t="inlineStr">
        <is>
          <t>96.67_27-08-2026_17-47-05.webp</t>
        </is>
      </c>
      <c r="B87" t="inlineStr">
        <is>
          <t>нет в каталоге</t>
        </is>
      </c>
      <c r="F87" t="inlineStr">
        <is>
          <t>vinodelnya-begildeeva-merlo-krasnoe-suhoe-14</t>
        </is>
      </c>
      <c r="G87" t="inlineStr">
        <is>
          <t>vinodelnya-begildeeva-kaberne-sovinon-merlo-krasnoe-suhoe-14</t>
        </is>
      </c>
      <c r="H87" t="inlineStr">
        <is>
          <t>vinodelnya-begildeeva-kaberne-sovinon-krasnoe-suhoe-14</t>
        </is>
      </c>
      <c r="I87" t="inlineStr">
        <is>
          <t>belbek-beloe-suhoe-kaberne-sovinon-krasnoe-14</t>
        </is>
      </c>
      <c r="J87" t="inlineStr">
        <is>
          <t>soyuz-vino-soyuz-vino-izabella-krasnoe-polusladkoe-11</t>
        </is>
      </c>
      <c r="K87">
        <f>IF(C87="","",IFERROR(MATCH(C87,F87:J87,0),"нет"))</f>
        <v/>
      </c>
      <c r="L87">
        <f>IF(C87="","",IF(K87=1,1,0))</f>
        <v/>
      </c>
      <c r="M87">
        <f>IF(C87="","",IF(ISNUMBER(K87),1,0))</f>
        <v/>
      </c>
      <c r="N87" t="inlineStr">
        <is>
          <t>Мерло — Винодельня Бегильдеева — Красное сухое</t>
        </is>
      </c>
      <c r="O87" t="inlineStr">
        <is>
          <t>Каберне Совиньон – Мерло — Винодельня Бегильдеева — Красное сухое</t>
        </is>
      </c>
      <c r="P87" t="inlineStr">
        <is>
          <t>Каберне Совиньон — Винодельня Бегильдеева — Красное сухое</t>
        </is>
      </c>
      <c r="Q87" t="inlineStr">
        <is>
          <t>Белое сухое — Бельбек — Красное сухое</t>
        </is>
      </c>
      <c r="R87" t="inlineStr">
        <is>
          <t>Союз-Вино Изабелла — Союз-Вино — Красное полусладкое</t>
        </is>
      </c>
      <c r="S87" s="3" t="n">
        <v>0.0008040370885282755</v>
      </c>
      <c r="T87" s="3" t="n">
        <v>0.9991351962089539</v>
      </c>
      <c r="U87" t="n">
        <v>907.2</v>
      </c>
    </row>
    <row r="88">
      <c r="A88" t="inlineStr">
        <is>
          <t>96.74_28-08-2026_13-52-26.webp</t>
        </is>
      </c>
      <c r="B88" t="inlineStr">
        <is>
          <t>уверенно</t>
        </is>
      </c>
      <c r="C88" t="inlineStr">
        <is>
          <t>usadba-mezyb-shishka-kupazh-5-kaberne-sovinon-rozovoe-suhoe-133</t>
        </is>
      </c>
      <c r="D88" t="inlineStr">
        <is>
          <t>Шишка. Купаж №5 — Усадьба Мезыбь — Розовое сухое</t>
        </is>
      </c>
      <c r="F88" t="inlineStr">
        <is>
          <t>usadba-mezyb-shishka-kupazh-5-kaberne-sovinon-rozovoe-suhoe-133</t>
        </is>
      </c>
      <c r="G88" t="inlineStr">
        <is>
          <t>usadba-mezyb-shishka-pino-nuar-rozovoe-suhoe-115</t>
        </is>
      </c>
      <c r="H88" t="inlineStr">
        <is>
          <t>usadba-mezyb-shishka-oranzh-shardone-beloe-suhoe-127</t>
        </is>
      </c>
      <c r="I88" t="inlineStr">
        <is>
          <t>usadba-mezyb-shishka-shenen-blan-sovinon-blan-beloe-suhoe-126</t>
        </is>
      </c>
      <c r="J88" t="inlineStr">
        <is>
          <t>usadba-mezyb-shishka-shenen-blan-beloe-suhoe-13</t>
        </is>
      </c>
      <c r="K88">
        <f>IF(C88="","",IFERROR(MATCH(C88,F88:J88,0),"нет"))</f>
        <v/>
      </c>
      <c r="L88">
        <f>IF(C88="","",IF(K88=1,1,0))</f>
        <v/>
      </c>
      <c r="M88">
        <f>IF(C88="","",IF(ISNUMBER(K88),1,0))</f>
        <v/>
      </c>
      <c r="N88" t="inlineStr">
        <is>
          <t>Шишка. Купаж №5 — Усадьба Мезыбь — Розовое сухое</t>
        </is>
      </c>
      <c r="O88" t="inlineStr">
        <is>
          <t>Шишка. Пино Нуар — Усадьба Мезыбь — Розовое сухое</t>
        </is>
      </c>
      <c r="P88" t="inlineStr">
        <is>
          <t>Шишка. Оранж — Усадьба Мезыбь — Белое сухое</t>
        </is>
      </c>
      <c r="Q88" t="inlineStr">
        <is>
          <t>Шишка. Шенен Блан, Совиньон Блан — Усадьба Мезыбь — Белое сухое</t>
        </is>
      </c>
      <c r="R88" t="inlineStr">
        <is>
          <t>Шишка. Шенен Блан — Усадьба Мезыбь — Белое сухое</t>
        </is>
      </c>
      <c r="S88" s="3" t="n">
        <v>0.9999996423721313</v>
      </c>
      <c r="T88" s="3" t="n">
        <v>9.931191158329966e-08</v>
      </c>
      <c r="U88" t="n">
        <v>2351.5</v>
      </c>
    </row>
    <row r="89">
      <c r="A89" t="inlineStr">
        <is>
          <t>96.76_07-09-2026_14-57-04.webp</t>
        </is>
      </c>
      <c r="B89" t="inlineStr">
        <is>
          <t>уверенно</t>
        </is>
      </c>
      <c r="C89" t="inlineStr">
        <is>
          <t>pozdnij-sbor-krasnoe</t>
        </is>
      </c>
      <c r="D89" t="inlineStr">
        <is>
          <t>Поздний сбор, Красное — Литавщук. Litavshchuk vineyards &amp; winery — Красное сладкое</t>
        </is>
      </c>
      <c r="F89" t="inlineStr">
        <is>
          <t>pozdnij-sbor-krasnoe</t>
        </is>
      </c>
      <c r="G89" t="inlineStr">
        <is>
          <t>pozdnij-sbor-beloe</t>
        </is>
      </c>
      <c r="H89" t="inlineStr">
        <is>
          <t>usadba-aleksandrovskaya-bubnovyy-valet-kaberne-sovinon-krasnoe-polusladkoe-13</t>
        </is>
      </c>
      <c r="I89" t="inlineStr">
        <is>
          <t>kokur-premium</t>
        </is>
      </c>
      <c r="J89" t="inlineStr">
        <is>
          <t>kaberne-sovinon-4</t>
        </is>
      </c>
      <c r="K89">
        <f>IF(C89="","",IFERROR(MATCH(C89,F89:J89,0),"нет"))</f>
        <v/>
      </c>
      <c r="L89">
        <f>IF(C89="","",IF(K89=1,1,0))</f>
        <v/>
      </c>
      <c r="M89">
        <f>IF(C89="","",IF(ISNUMBER(K89),1,0))</f>
        <v/>
      </c>
      <c r="N89" t="inlineStr">
        <is>
          <t>Поздний сбор, Красное — Литавщук. Litavshchuk vineyards &amp; winery — Красное сладкое</t>
        </is>
      </c>
      <c r="O89" t="inlineStr">
        <is>
          <t>Поздний сбор  Белое — Литавщук. Litavshchuk vineyards &amp; winery — Белое сладкое</t>
        </is>
      </c>
      <c r="P89" t="inlineStr">
        <is>
          <t>Бубновый Валет — Усадьба Александровская — Красное полусладкое</t>
        </is>
      </c>
      <c r="Q89" t="inlineStr">
        <is>
          <t>Кокур Премиум — Массандра — Белое сухое</t>
        </is>
      </c>
      <c r="R89" t="inlineStr">
        <is>
          <t>Каберне Совиньон — Усадьба Перовских — Красное сухое</t>
        </is>
      </c>
      <c r="S89" s="3" t="n">
        <v>0.9999930858612061</v>
      </c>
      <c r="T89" s="3" t="n">
        <v>2.5109816448321e-08</v>
      </c>
      <c r="U89" t="n">
        <v>1081.2</v>
      </c>
    </row>
    <row r="90">
      <c r="A90" t="inlineStr">
        <is>
          <t>96.77_24-08-2026_14-10-46.webp</t>
        </is>
      </c>
      <c r="B90" t="inlineStr">
        <is>
          <t>уверенно</t>
        </is>
      </c>
      <c r="C90" t="inlineStr">
        <is>
          <t>golubitskoe-estate-red-blend-kaberne-sovinon-krasnoe-suhoe-136</t>
        </is>
      </c>
      <c r="D90" t="inlineStr">
        <is>
          <t>Red Blend — Golubitskoe Estate — Красное сухое</t>
        </is>
      </c>
      <c r="F90" t="inlineStr">
        <is>
          <t>golubitskoe-estate-red-blend-kaberne-sovinon-krasnoe-suhoe-136</t>
        </is>
      </c>
      <c r="G90" t="inlineStr">
        <is>
          <t>golubitskoe-estate-winery-series-roze-blend-kaberne-sovinon-rozovoe-suhoe-117</t>
        </is>
      </c>
      <c r="H90" t="inlineStr">
        <is>
          <t>pomeste-golubitskoe-kaberne-sovinon-rezerv-krasnoe-suhoe-143</t>
        </is>
      </c>
      <c r="I90" t="inlineStr">
        <is>
          <t>golubitskoe-estate-winery-series-pino-nuar-rozovoe-suhoe-115</t>
        </is>
      </c>
      <c r="J90" t="inlineStr">
        <is>
          <t>golubitskoe-estate-kaberne-sovinon-rezerv-krasnoe-suhoe-125</t>
        </is>
      </c>
      <c r="K90">
        <f>IF(C90="","",IFERROR(MATCH(C90,F90:J90,0),"нет"))</f>
        <v/>
      </c>
      <c r="L90">
        <f>IF(C90="","",IF(K90=1,1,0))</f>
        <v/>
      </c>
      <c r="M90">
        <f>IF(C90="","",IF(ISNUMBER(K90),1,0))</f>
        <v/>
      </c>
      <c r="N90" t="inlineStr">
        <is>
          <t>Red Blend — Golubitskoe Estate — Красное сухое</t>
        </is>
      </c>
      <c r="O90" t="inlineStr">
        <is>
          <t>Winery Series. Розе бленд — Golubitskoe Estate — Розовое сухое</t>
        </is>
      </c>
      <c r="P90" t="inlineStr">
        <is>
          <t>Каберне Совиньон Резерв — Golubitskoe Estate — Красное сухое</t>
        </is>
      </c>
      <c r="Q90" t="inlineStr">
        <is>
          <t>Winery Series. Пино Нуар — Golubitskoe Estate — Розовое сухое</t>
        </is>
      </c>
      <c r="R90" t="inlineStr">
        <is>
          <t>Каберне Совиньон Резерв — Golubitskoe Estate — Красное сухое</t>
        </is>
      </c>
      <c r="S90" s="3" t="n">
        <v>0.9999616146087646</v>
      </c>
      <c r="T90" s="3" t="n">
        <v>1.14784597826656e-05</v>
      </c>
      <c r="U90" t="n">
        <v>1130.3</v>
      </c>
    </row>
    <row r="91">
      <c r="A91" t="inlineStr">
        <is>
          <t>96.78_25-08-2026_18-04-42.webp</t>
        </is>
      </c>
      <c r="B91" t="inlineStr">
        <is>
          <t>исключено</t>
        </is>
      </c>
      <c r="E91" t="inlineStr">
        <is>
          <t>здесь на фото 2 вина разных</t>
        </is>
      </c>
      <c r="F91" t="inlineStr">
        <is>
          <t>czitronnyj-magaracha</t>
        </is>
      </c>
      <c r="G91" t="inlineStr">
        <is>
          <t>rubin-golodrigi</t>
        </is>
      </c>
      <c r="H91" t="inlineStr">
        <is>
          <t>risling-1</t>
        </is>
      </c>
      <c r="I91" t="inlineStr">
        <is>
          <t>kaberne-sovinon-2</t>
        </is>
      </c>
      <c r="J91" t="inlineStr">
        <is>
          <t>bukovinka</t>
        </is>
      </c>
      <c r="K91">
        <f>IF(C91="","",IFERROR(MATCH(C91,F91:J91,0),"нет"))</f>
        <v/>
      </c>
      <c r="L91">
        <f>IF(C91="","",IF(K91=1,1,0))</f>
        <v/>
      </c>
      <c r="M91">
        <f>IF(C91="","",IF(ISNUMBER(K91),1,0))</f>
        <v/>
      </c>
      <c r="N91" t="inlineStr">
        <is>
          <t>Цитрон — Табия — Белое сухое</t>
        </is>
      </c>
      <c r="O91" t="inlineStr">
        <is>
          <t>Рубин Голодриги  — Табия — Красное сухое</t>
        </is>
      </c>
      <c r="P91" t="inlineStr">
        <is>
          <t>Рислинг — Табия — Белое полусухое</t>
        </is>
      </c>
      <c r="Q91" t="inlineStr">
        <is>
          <t>Каберне Совиньон — Табия — Красное сухое</t>
        </is>
      </c>
      <c r="R91" t="inlineStr">
        <is>
          <t>Буковинка — Табия — Белое полусухое</t>
        </is>
      </c>
      <c r="S91" s="3" t="n">
        <v>0.9677441716194153</v>
      </c>
      <c r="T91" s="3" t="n">
        <v>0.01075066812336445</v>
      </c>
      <c r="U91" t="n">
        <v>765.6</v>
      </c>
    </row>
    <row r="92">
      <c r="A92" t="inlineStr">
        <is>
          <t>96.79_20-08-2026_17-48-31.webp</t>
        </is>
      </c>
      <c r="B92" t="inlineStr">
        <is>
          <t>уверенно</t>
        </is>
      </c>
      <c r="C92" t="inlineStr">
        <is>
          <t>oleg</t>
        </is>
      </c>
      <c r="D92" t="inlineStr">
        <is>
          <t>Олег — Табия — Белое сухое</t>
        </is>
      </c>
      <c r="F92" t="inlineStr">
        <is>
          <t>oleg</t>
        </is>
      </c>
      <c r="G92" t="inlineStr">
        <is>
          <t>kaberne-sovinon-2</t>
        </is>
      </c>
      <c r="H92" t="inlineStr">
        <is>
          <t>bukovinka</t>
        </is>
      </c>
      <c r="I92" t="inlineStr">
        <is>
          <t>rubin-golodrigi</t>
        </is>
      </c>
      <c r="J92" t="inlineStr">
        <is>
          <t>roze-2</t>
        </is>
      </c>
      <c r="K92">
        <f>IF(C92="","",IFERROR(MATCH(C92,F92:J92,0),"нет"))</f>
        <v/>
      </c>
      <c r="L92">
        <f>IF(C92="","",IF(K92=1,1,0))</f>
        <v/>
      </c>
      <c r="M92">
        <f>IF(C92="","",IF(ISNUMBER(K92),1,0))</f>
        <v/>
      </c>
      <c r="N92" t="inlineStr">
        <is>
          <t>Олег — Табия — Белое сухое</t>
        </is>
      </c>
      <c r="O92" t="inlineStr">
        <is>
          <t>Каберне Совиньон — Табия — Красное сухое</t>
        </is>
      </c>
      <c r="P92" t="inlineStr">
        <is>
          <t>Буковинка — Табия — Белое полусухое</t>
        </is>
      </c>
      <c r="Q92" t="inlineStr">
        <is>
          <t>Рубин Голодриги  — Табия — Красное сухое</t>
        </is>
      </c>
      <c r="R92" t="inlineStr">
        <is>
          <t>Розе — Табия — Розовое сухое</t>
        </is>
      </c>
      <c r="S92" s="3" t="n">
        <v>0.9999992847442627</v>
      </c>
      <c r="T92" s="3" t="n">
        <v>2.699576384657121e-07</v>
      </c>
      <c r="U92" t="n">
        <v>763.1</v>
      </c>
    </row>
    <row r="93">
      <c r="A93" t="inlineStr">
        <is>
          <t>96.79_28-08-2026_22-05-22.webp</t>
        </is>
      </c>
      <c r="B93" t="inlineStr">
        <is>
          <t>уверенно</t>
        </is>
      </c>
      <c r="C93" t="inlineStr">
        <is>
          <t>vinodelnya-vedernikov-vedernikov-dolina-dona-beloe-suhoe-aligote-12</t>
        </is>
      </c>
      <c r="D93" t="inlineStr">
        <is>
          <t>Ведерниковъ Долина Дона Белое Сухое — Ведерниковъ — Белое сухое</t>
        </is>
      </c>
      <c r="F93" t="inlineStr">
        <is>
          <t>vinodelnya-vedernikov-vedernikov-dolina-dona-beloe-suhoe-aligote-12</t>
        </is>
      </c>
      <c r="G93" t="inlineStr">
        <is>
          <t>vinodelnya-vedernikov-sibirkovyy-beloe-suhoe-11</t>
        </is>
      </c>
      <c r="H93" t="inlineStr">
        <is>
          <t>vinodelnya-vedernikov-vedernikov-dolina-dona-krasnoe-suhoe-kaberne-sovinon-125</t>
        </is>
      </c>
      <c r="I93" t="inlineStr">
        <is>
          <t>vinodelnya-vedernikov-krasnostop-zolotovskiy-krasnoe-suhoe-13</t>
        </is>
      </c>
      <c r="J93" t="inlineStr">
        <is>
          <t>vinodelnya-vedernikov-gubernatorskoe-risling-beloe-suhoe-12</t>
        </is>
      </c>
      <c r="K93">
        <f>IF(C93="","",IFERROR(MATCH(C93,F93:J93,0),"нет"))</f>
        <v/>
      </c>
      <c r="L93">
        <f>IF(C93="","",IF(K93=1,1,0))</f>
        <v/>
      </c>
      <c r="M93">
        <f>IF(C93="","",IF(ISNUMBER(K93),1,0))</f>
        <v/>
      </c>
      <c r="N93" t="inlineStr">
        <is>
          <t>Ведерниковъ Долина Дона Белое Сухое — Ведерниковъ — Белое сухое</t>
        </is>
      </c>
      <c r="O93" t="inlineStr">
        <is>
          <t>Сибирьковый — Ведерниковъ — Белое сухое</t>
        </is>
      </c>
      <c r="P93" t="inlineStr">
        <is>
          <t>Ведерниковъ Долина Дона Красное Сухое — Ведерниковъ — Красное сухое</t>
        </is>
      </c>
      <c r="Q93" t="inlineStr">
        <is>
          <t>Красностоп Золотовский — Ведерниковъ — Красное сухое</t>
        </is>
      </c>
      <c r="R93" t="inlineStr">
        <is>
          <t>Губернаторское. Рислинг — Ведерниковъ — Белое сухое</t>
        </is>
      </c>
      <c r="S93" s="3" t="n">
        <v>0.9932996034622192</v>
      </c>
      <c r="T93" s="3" t="n">
        <v>1.117811478934527e-07</v>
      </c>
      <c r="U93" t="n">
        <v>943.7</v>
      </c>
    </row>
    <row r="94">
      <c r="A94" t="inlineStr">
        <is>
          <t>96.7_28-08-2026_13-50-21.webp</t>
        </is>
      </c>
      <c r="B94" t="inlineStr">
        <is>
          <t>нет в каталоге</t>
        </is>
      </c>
      <c r="F94" t="inlineStr">
        <is>
          <t>usadba-divnomorskoe-yuzhnyy-les-merlo-krasnoe-suhoe-137</t>
        </is>
      </c>
      <c r="G94" t="inlineStr">
        <is>
          <t>usadba-divnomorskoe-solnechnyy-veter-shardone-beloe-suhoe-125</t>
        </is>
      </c>
      <c r="H94" t="inlineStr">
        <is>
          <t>usadba-divnomorskoe-holodnyy-tuman-risling-beloe-suhoe-115</t>
        </is>
      </c>
      <c r="I94" t="inlineStr">
        <is>
          <t>usadba-divnomorskoe-solist-marselan-rozovoe-suhoe-115</t>
        </is>
      </c>
      <c r="J94" t="inlineStr">
        <is>
          <t>vinodelnya-vedernikov-vedernikov-krasnostop-zolotovskiy-magnum-krasnoe-suhoe-145</t>
        </is>
      </c>
      <c r="K94">
        <f>IF(C94="","",IFERROR(MATCH(C94,F94:J94,0),"нет"))</f>
        <v/>
      </c>
      <c r="L94">
        <f>IF(C94="","",IF(K94=1,1,0))</f>
        <v/>
      </c>
      <c r="M94">
        <f>IF(C94="","",IF(ISNUMBER(K94),1,0))</f>
        <v/>
      </c>
      <c r="N94" t="inlineStr">
        <is>
          <t>Южный Лес — Усадьба Дивноморское — Красное сухое</t>
        </is>
      </c>
      <c r="O94" t="inlineStr">
        <is>
          <t>Солнечный Ветер — Усадьба Дивноморское — Белое сухое</t>
        </is>
      </c>
      <c r="P94" t="inlineStr">
        <is>
          <t>Холодный Туман — Усадьба Дивноморское — Белое сухое</t>
        </is>
      </c>
      <c r="Q94" t="inlineStr">
        <is>
          <t>Солист — Усадьба Дивноморское — Розовое сухое</t>
        </is>
      </c>
      <c r="R94" t="inlineStr">
        <is>
          <t>Ведерниковъ Красностоп Золотовский (магнум) — Ведерниковъ — Красное сухое</t>
        </is>
      </c>
      <c r="S94" s="3" t="n">
        <v>0.9999815225601196</v>
      </c>
      <c r="T94" s="3" t="n">
        <v>1.47389264384401e-05</v>
      </c>
      <c r="U94" t="n">
        <v>1443</v>
      </c>
    </row>
    <row r="95">
      <c r="A95" t="inlineStr">
        <is>
          <t>96.83_20-08-2026_17-48-13.webp</t>
        </is>
      </c>
      <c r="B95" t="inlineStr">
        <is>
          <t>уверенно</t>
        </is>
      </c>
      <c r="C95" t="inlineStr">
        <is>
          <t>oleg</t>
        </is>
      </c>
      <c r="D95" t="inlineStr">
        <is>
          <t>Олег — Табия — Белое сухое</t>
        </is>
      </c>
      <c r="F95" t="inlineStr">
        <is>
          <t>oleg</t>
        </is>
      </c>
      <c r="G95" t="inlineStr">
        <is>
          <t>rubin-golodrigi</t>
        </is>
      </c>
      <c r="H95" t="inlineStr">
        <is>
          <t>bukovinka</t>
        </is>
      </c>
      <c r="I95" t="inlineStr">
        <is>
          <t>kaberne-sovinon-2</t>
        </is>
      </c>
      <c r="J95" t="inlineStr">
        <is>
          <t>risling-1</t>
        </is>
      </c>
      <c r="K95">
        <f>IF(C95="","",IFERROR(MATCH(C95,F95:J95,0),"нет"))</f>
        <v/>
      </c>
      <c r="L95">
        <f>IF(C95="","",IF(K95=1,1,0))</f>
        <v/>
      </c>
      <c r="M95">
        <f>IF(C95="","",IF(ISNUMBER(K95),1,0))</f>
        <v/>
      </c>
      <c r="N95" t="inlineStr">
        <is>
          <t>Олег — Табия — Белое сухое</t>
        </is>
      </c>
      <c r="O95" t="inlineStr">
        <is>
          <t>Рубин Голодриги  — Табия — Красное сухое</t>
        </is>
      </c>
      <c r="P95" t="inlineStr">
        <is>
          <t>Буковинка — Табия — Белое полусухое</t>
        </is>
      </c>
      <c r="Q95" t="inlineStr">
        <is>
          <t>Каберне Совиньон — Табия — Красное сухое</t>
        </is>
      </c>
      <c r="R95" t="inlineStr">
        <is>
          <t>Рислинг — Табия — Белое полусухое</t>
        </is>
      </c>
      <c r="S95" s="3" t="n">
        <v>0.9999997615814209</v>
      </c>
      <c r="T95" s="3" t="n">
        <v>8.764246217651817e-08</v>
      </c>
      <c r="U95" t="n">
        <v>739.1</v>
      </c>
    </row>
    <row r="96">
      <c r="A96" t="inlineStr">
        <is>
          <t>96.8_25-08-2026_22-20-38.webp</t>
        </is>
      </c>
      <c r="B96" t="inlineStr">
        <is>
          <t>не уверен</t>
        </is>
      </c>
      <c r="C96" t="inlineStr">
        <is>
          <t>sovinon-blan</t>
        </is>
      </c>
      <c r="D96" t="inlineStr">
        <is>
          <t>Совиньон Блан — Литавщук. Litavshchuk vineyards &amp; winery — Белое полусладкое</t>
        </is>
      </c>
      <c r="E96" t="inlineStr">
        <is>
          <t>то что в slug полусладкое, а на фото полусухое</t>
        </is>
      </c>
      <c r="F96" t="inlineStr">
        <is>
          <t>sovinon-blan</t>
        </is>
      </c>
      <c r="G96" t="inlineStr">
        <is>
          <t>blagolyubov-sovinon-blan-beloe-suhoe-125</t>
        </is>
      </c>
      <c r="H96" t="inlineStr">
        <is>
          <t>dubinin-winery-sovinon-blan-beloe-suhoe-12</t>
        </is>
      </c>
      <c r="I96" t="inlineStr">
        <is>
          <t>vinodelnya-begildeeva-kaberne-sovinon-krasnoe-suhoe-14</t>
        </is>
      </c>
      <c r="J96" t="inlineStr">
        <is>
          <t>vinodelnya-begildeeva-kaberne-sovinon-merlo-krasnoe-suhoe-14</t>
        </is>
      </c>
      <c r="K96">
        <f>IF(C96="","",IFERROR(MATCH(C96,F96:J96,0),"нет"))</f>
        <v/>
      </c>
      <c r="L96">
        <f>IF(C96="","",IF(K96=1,1,0))</f>
        <v/>
      </c>
      <c r="M96">
        <f>IF(C96="","",IF(ISNUMBER(K96),1,0))</f>
        <v/>
      </c>
      <c r="N96" t="inlineStr">
        <is>
          <t>Совиньон Блан — Литавщук. Litavshchuk vineyards &amp; winery — Белое полусладкое</t>
        </is>
      </c>
      <c r="O96" t="inlineStr">
        <is>
          <t>Совиньон Блан — Благолюбов — Белое сухое</t>
        </is>
      </c>
      <c r="P96" t="inlineStr">
        <is>
          <t>Совиньон Блан — Dubinin Winery — Белое сухое</t>
        </is>
      </c>
      <c r="Q96" t="inlineStr">
        <is>
          <t>Каберне Совиньон — Винодельня Бегильдеева — Красное сухое</t>
        </is>
      </c>
      <c r="R96" t="inlineStr">
        <is>
          <t>Каберне Совиньон – Мерло — Винодельня Бегильдеева — Красное сухое</t>
        </is>
      </c>
      <c r="S96" s="3" t="n">
        <v>1</v>
      </c>
      <c r="T96" s="3" t="n">
        <v>4.139937814784389e-08</v>
      </c>
      <c r="U96" t="n">
        <v>1199.5</v>
      </c>
    </row>
    <row r="97">
      <c r="A97" t="inlineStr">
        <is>
          <t>96.96_05-09-2026_19-02-01.webp</t>
        </is>
      </c>
      <c r="B97" t="inlineStr">
        <is>
          <t>уверенно</t>
        </is>
      </c>
      <c r="C97" t="inlineStr">
        <is>
          <t>denisov_rubin_klaret_krasnaya_strelka</t>
        </is>
      </c>
      <c r="D97" t="inlineStr">
        <is>
          <t>Рубин кларет . Красная стрелка — Denisov Winery — Розовое сухое</t>
        </is>
      </c>
      <c r="F97" t="inlineStr">
        <is>
          <t>denisov_rubin_klaret_krasnaya_strelka</t>
        </is>
      </c>
      <c r="G97" t="inlineStr">
        <is>
          <t>denisov_pino_noir_klaret</t>
        </is>
      </c>
      <c r="H97" t="inlineStr">
        <is>
          <t>vinodelnya-pokrovskaya-pokrovskoe-sladkoe-krasnoe-kaberne-sovinon-13</t>
        </is>
      </c>
      <c r="I97" t="inlineStr">
        <is>
          <t>usadba-aleksandrovskaya-bubnovyy-valet-kaberne-sovinon-krasnoe-polusladkoe-13</t>
        </is>
      </c>
      <c r="J97" t="inlineStr">
        <is>
          <t>vinodelnya-78-aligote-otbornoe-beloe-suhoe-12</t>
        </is>
      </c>
      <c r="K97">
        <f>IF(C97="","",IFERROR(MATCH(C97,F97:J97,0),"нет"))</f>
        <v/>
      </c>
      <c r="L97">
        <f>IF(C97="","",IF(K97=1,1,0))</f>
        <v/>
      </c>
      <c r="M97">
        <f>IF(C97="","",IF(ISNUMBER(K97),1,0))</f>
        <v/>
      </c>
      <c r="N97" t="inlineStr">
        <is>
          <t>Рубин кларет . Красная стрелка — Denisov Winery — Розовое сухое</t>
        </is>
      </c>
      <c r="O97" t="inlineStr">
        <is>
          <t>Пино Нуар кларет. Красная стрелка — Denisov Winery — Розовое сухое</t>
        </is>
      </c>
      <c r="P97" t="inlineStr">
        <is>
          <t>Покровское сладкое красное — Винодельня Покровская — Красное сладкое</t>
        </is>
      </c>
      <c r="Q97" t="inlineStr">
        <is>
          <t>Бубновый Валет — Усадьба Александровская — Красное полусладкое</t>
        </is>
      </c>
      <c r="R97" t="inlineStr">
        <is>
          <t>Алиготе Отборное — Винодельня 78 — Белое сухое</t>
        </is>
      </c>
      <c r="S97" s="3" t="n">
        <v>0.9999997615814209</v>
      </c>
      <c r="T97" s="3" t="n">
        <v>1.275190300020768e-07</v>
      </c>
      <c r="U97" t="n">
        <v>1255.9</v>
      </c>
    </row>
    <row r="98">
      <c r="A98" t="inlineStr">
        <is>
          <t>96.98_19-08-2026_19-05-06.webp</t>
        </is>
      </c>
      <c r="B98" t="inlineStr">
        <is>
          <t>уверенно</t>
        </is>
      </c>
      <c r="C98" t="inlineStr">
        <is>
          <t>czitronnyj-magaracha</t>
        </is>
      </c>
      <c r="D98" t="inlineStr">
        <is>
          <t>Цитрон — Табия — Белое сухое</t>
        </is>
      </c>
      <c r="E98" t="inlineStr">
        <is>
          <t>в slug сухое, а нужно полусухое, но полусухого нет</t>
        </is>
      </c>
      <c r="F98" t="inlineStr">
        <is>
          <t>czitronnyj-magaracha</t>
        </is>
      </c>
      <c r="G98" t="inlineStr">
        <is>
          <t>risling-1</t>
        </is>
      </c>
      <c r="H98" t="inlineStr">
        <is>
          <t>oleg</t>
        </is>
      </c>
      <c r="I98" t="inlineStr">
        <is>
          <t>bukovinka</t>
        </is>
      </c>
      <c r="J98" t="inlineStr">
        <is>
          <t>rubin-golodrigi</t>
        </is>
      </c>
      <c r="K98">
        <f>IF(C98="","",IFERROR(MATCH(C98,F98:J98,0),"нет"))</f>
        <v/>
      </c>
      <c r="L98">
        <f>IF(C98="","",IF(K98=1,1,0))</f>
        <v/>
      </c>
      <c r="M98">
        <f>IF(C98="","",IF(ISNUMBER(K98),1,0))</f>
        <v/>
      </c>
      <c r="N98" t="inlineStr">
        <is>
          <t>Цитрон — Табия — Белое сухое</t>
        </is>
      </c>
      <c r="O98" t="inlineStr">
        <is>
          <t>Рислинг — Табия — Белое полусухое</t>
        </is>
      </c>
      <c r="P98" t="inlineStr">
        <is>
          <t>Олег — Табия — Белое сухое</t>
        </is>
      </c>
      <c r="Q98" t="inlineStr">
        <is>
          <t>Буковинка — Табия — Белое полусухое</t>
        </is>
      </c>
      <c r="R98" t="inlineStr">
        <is>
          <t>Рубин Голодриги  — Табия — Красное сухое</t>
        </is>
      </c>
      <c r="S98" s="3" t="n">
        <v>0.9999997615814209</v>
      </c>
      <c r="T98" s="3" t="n">
        <v>9.931192579415438e-08</v>
      </c>
      <c r="U98" t="n">
        <v>734.1</v>
      </c>
    </row>
    <row r="99">
      <c r="A99" t="inlineStr">
        <is>
          <t>97.02_29-08-2026_18-49-02.webp</t>
        </is>
      </c>
      <c r="B99" t="inlineStr">
        <is>
          <t>нет в каталоге</t>
        </is>
      </c>
      <c r="F99" t="inlineStr">
        <is>
          <t>caperavi-avtorskoe-vino</t>
        </is>
      </c>
      <c r="G99" t="inlineStr">
        <is>
          <t>kaberne-avtorskoe-vino</t>
        </is>
      </c>
      <c r="H99" t="inlineStr">
        <is>
          <t>kaberne-sovinon</t>
        </is>
      </c>
      <c r="I99" t="inlineStr">
        <is>
          <t>massandra-muskatel-rozovyy-belye-sorta-vinograda-rozovoe-sladkoe-16</t>
        </is>
      </c>
      <c r="J99" t="inlineStr">
        <is>
          <t>massandra-bastardo-bastardo-magarachskiy-krasnoe-sladkoe-16</t>
        </is>
      </c>
      <c r="K99">
        <f>IF(C99="","",IFERROR(MATCH(C99,F99:J99,0),"нет"))</f>
        <v/>
      </c>
      <c r="L99">
        <f>IF(C99="","",IF(K99=1,1,0))</f>
        <v/>
      </c>
      <c r="M99">
        <f>IF(C99="","",IF(ISNUMBER(K99),1,0))</f>
        <v/>
      </c>
      <c r="N99" t="inlineStr">
        <is>
          <t>Cаперави. Авторское вино — Массандра — Красное сухое</t>
        </is>
      </c>
      <c r="O99" t="inlineStr">
        <is>
          <t>Каберне. Авторское вино — Массандра — Красное сухое</t>
        </is>
      </c>
      <c r="P99" t="inlineStr">
        <is>
          <t>Каберне Совиньон — Массандра — Красное сладкое</t>
        </is>
      </c>
      <c r="Q99" t="inlineStr">
        <is>
          <t>Мускатель розовый — Массандра — Розовое сладкое</t>
        </is>
      </c>
      <c r="R99" t="inlineStr">
        <is>
          <t>Бастардо — Массандра — Красное сладкое</t>
        </is>
      </c>
      <c r="S99" s="3" t="n">
        <v>0.9999972581863403</v>
      </c>
      <c r="T99" s="3" t="n">
        <v>3.466318219125242e-07</v>
      </c>
      <c r="U99" t="n">
        <v>968</v>
      </c>
    </row>
    <row r="100">
      <c r="A100" t="inlineStr">
        <is>
          <t>97.08_05-09-2026_15-30-50.webp</t>
        </is>
      </c>
      <c r="B100" t="inlineStr">
        <is>
          <t>нет в каталоге</t>
        </is>
      </c>
      <c r="F100" t="inlineStr">
        <is>
          <t>fanagoriya-alveus-ultra-cuvee-brut-shardone-beloe-bryut-12</t>
        </is>
      </c>
      <c r="G100" t="inlineStr">
        <is>
          <t>fanagoriya-alveus-ultra-cuvee-ekstra-bryut-rozovoe-merlo-12</t>
        </is>
      </c>
      <c r="H100" t="inlineStr">
        <is>
          <t>fanagoriya-alveus-ultra-cuvee-ekstra-bryut-beloe-risling-reynskiy-12</t>
        </is>
      </c>
      <c r="I100" t="inlineStr">
        <is>
          <t>rozovoe-bryut-1</t>
        </is>
      </c>
      <c r="J100" t="inlineStr">
        <is>
          <t>novyy-svet-dom-shampanskih-vin-igristoe-vino-vyderzhannoe-polusladkoe-rozovoe-novyy-svet-pino-fran-135</t>
        </is>
      </c>
      <c r="K100">
        <f>IF(C100="","",IFERROR(MATCH(C100,F100:J100,0),"нет"))</f>
        <v/>
      </c>
      <c r="L100">
        <f>IF(C100="","",IF(K100=1,1,0))</f>
        <v/>
      </c>
      <c r="M100">
        <f>IF(C100="","",IF(ISNUMBER(K100),1,0))</f>
        <v/>
      </c>
      <c r="N100" t="inlineStr">
        <is>
          <t>Alveus Ultra Cuvee Brut — Фанагория — Белое брют</t>
        </is>
      </c>
      <c r="O100" t="inlineStr">
        <is>
          <t>Alveus Ultra Cuvee. Экстра брют розовое — Фанагория — Розовое экстра брют</t>
        </is>
      </c>
      <c r="P100" t="inlineStr">
        <is>
          <t>Alveus Ultra Cuvee. Экстра брют белое — Фанагория — Белое экстра брют</t>
        </is>
      </c>
      <c r="Q100" t="inlineStr">
        <is>
          <t>Розовое брют — Золотая Балка — Розовое брют</t>
        </is>
      </c>
      <c r="R100" t="inlineStr">
        <is>
          <t>Игристое вино выдержанное полусладкое розовое «Новый Свет. Пино Фран» — Новый Свет. Дом шампанских вин — Розовое полусладкое</t>
        </is>
      </c>
      <c r="S100" s="3" t="n">
        <v>0.2092742621898651</v>
      </c>
      <c r="T100" s="3" t="n">
        <v>0.6446101069450378</v>
      </c>
      <c r="U100" t="n">
        <v>1282.8</v>
      </c>
    </row>
    <row r="101">
      <c r="A101" t="inlineStr">
        <is>
          <t>97.23_05-09-2026_15-34-36.webp</t>
        </is>
      </c>
      <c r="B101" t="inlineStr">
        <is>
          <t>не уверен</t>
        </is>
      </c>
      <c r="C101" t="inlineStr">
        <is>
          <t>sovinon-blan</t>
        </is>
      </c>
      <c r="D101" t="inlineStr">
        <is>
          <t>Совиньон Блан — Литавщук. Litavshchuk vineyards &amp; winery — Белое полусладкое</t>
        </is>
      </c>
      <c r="E101" t="inlineStr">
        <is>
          <t>то что в slug полусладкое, а на фото полусухое</t>
        </is>
      </c>
      <c r="F101" t="inlineStr">
        <is>
          <t>sovinon-blan</t>
        </is>
      </c>
      <c r="G101" t="inlineStr">
        <is>
          <t>vinodelnya-begildeeva-kaberne-sovinon-krasnoe-suhoe-14</t>
        </is>
      </c>
      <c r="H101" t="inlineStr">
        <is>
          <t>kaberne-sovinon-3</t>
        </is>
      </c>
      <c r="I101" t="inlineStr">
        <is>
          <t>blagolyubov-sovinon-blan-beloe-suhoe-125</t>
        </is>
      </c>
      <c r="J101" t="inlineStr">
        <is>
          <t>vinodelnya-begildeeva-kaberne-sovinon-merlo-krasnoe-suhoe-14</t>
        </is>
      </c>
      <c r="K101">
        <f>IF(C101="","",IFERROR(MATCH(C101,F101:J101,0),"нет"))</f>
        <v/>
      </c>
      <c r="L101">
        <f>IF(C101="","",IF(K101=1,1,0))</f>
        <v/>
      </c>
      <c r="M101">
        <f>IF(C101="","",IF(ISNUMBER(K101),1,0))</f>
        <v/>
      </c>
      <c r="N101" t="inlineStr">
        <is>
          <t>Совиньон Блан — Литавщук. Litavshchuk vineyards &amp; winery — Белое полусладкое</t>
        </is>
      </c>
      <c r="O101" t="inlineStr">
        <is>
          <t>Каберне Совиньон — Винодельня Бегильдеева — Красное сухое</t>
        </is>
      </c>
      <c r="P101" t="inlineStr">
        <is>
          <t>Каберне Совиньон — Литавщук. Litavshchuk vineyards &amp; winery — Красное полусухое</t>
        </is>
      </c>
      <c r="Q101" t="inlineStr">
        <is>
          <t>Совиньон Блан — Благолюбов — Белое сухое</t>
        </is>
      </c>
      <c r="R101" t="inlineStr">
        <is>
          <t>Каберне Совиньон – Мерло — Винодельня Бегильдеева — Красное сухое</t>
        </is>
      </c>
      <c r="S101" s="3" t="n">
        <v>0.9999998807907104</v>
      </c>
      <c r="T101" s="3" t="n">
        <v>3.653481783771895e-08</v>
      </c>
      <c r="U101" t="n">
        <v>1455.9</v>
      </c>
    </row>
  </sheetData>
  <autoFilter ref="A1:U101"/>
  <conditionalFormatting sqref="F2:J101">
    <cfRule type="expression" priority="1" dxfId="0">
      <formula>AND($C2&lt;&gt;"",F2=$C2)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34" customWidth="1" min="3" max="3"/>
    <col width="40" customWidth="1" min="4" max="4"/>
    <col width="30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9" customWidth="1" min="11" max="11"/>
    <col width="9" customWidth="1" min="12" max="12"/>
    <col width="9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12" customWidth="1" min="19" max="19"/>
    <col width="12" customWidth="1" min="20" max="20"/>
    <col width="10" customWidth="1" min="21" max="21"/>
  </cols>
  <sheetData>
    <row r="1">
      <c r="A1" s="5" t="inlineStr">
        <is>
          <t>Фото</t>
        </is>
      </c>
      <c r="B1" s="5" t="inlineStr">
        <is>
          <t>Статус разметки</t>
        </is>
      </c>
      <c r="C1" s="5" t="inlineStr">
        <is>
          <t>target</t>
        </is>
      </c>
      <c r="D1" s="5" t="inlineStr">
        <is>
          <t>target: вино</t>
        </is>
      </c>
      <c r="E1" s="5" t="inlineStr">
        <is>
          <t>Комментарий разметчика</t>
        </is>
      </c>
      <c r="F1" s="5" t="inlineStr">
        <is>
          <t>top-1</t>
        </is>
      </c>
      <c r="G1" s="5" t="inlineStr">
        <is>
          <t>top-2</t>
        </is>
      </c>
      <c r="H1" s="5" t="inlineStr">
        <is>
          <t>top-3</t>
        </is>
      </c>
      <c r="I1" s="5" t="inlineStr">
        <is>
          <t>top-4</t>
        </is>
      </c>
      <c r="J1" s="5" t="inlineStr">
        <is>
          <t>top-5</t>
        </is>
      </c>
      <c r="K1" s="5" t="inlineStr">
        <is>
          <t>Ранг target</t>
        </is>
      </c>
      <c r="L1" s="5" t="inlineStr">
        <is>
          <t>Верно top-1</t>
        </is>
      </c>
      <c r="M1" s="5" t="inlineStr">
        <is>
          <t>Верно top-5</t>
        </is>
      </c>
      <c r="N1" s="5" t="inlineStr">
        <is>
          <t>top-1: вино</t>
        </is>
      </c>
      <c r="O1" s="5" t="inlineStr">
        <is>
          <t>top-2: вино</t>
        </is>
      </c>
      <c r="P1" s="5" t="inlineStr">
        <is>
          <t>top-3: вино</t>
        </is>
      </c>
      <c r="Q1" s="5" t="inlineStr">
        <is>
          <t>top-4: вино</t>
        </is>
      </c>
      <c r="R1" s="5" t="inlineStr">
        <is>
          <t>top-5: вино</t>
        </is>
      </c>
      <c r="S1" s="5" t="inlineStr">
        <is>
          <t>top-1: вероятность VLM</t>
        </is>
      </c>
      <c r="T1" s="5" t="inlineStr">
        <is>
          <t>«нет в списке» (VLM)</t>
        </is>
      </c>
      <c r="U1" s="5" t="inlineStr">
        <is>
          <t>VLM, мс</t>
        </is>
      </c>
    </row>
    <row r="2">
      <c r="A2" t="inlineStr">
        <is>
          <t>1.73_06-09-2026_14-54-06.webp</t>
        </is>
      </c>
      <c r="B2" t="inlineStr">
        <is>
          <t>не уверен</t>
        </is>
      </c>
      <c r="C2" t="inlineStr">
        <is>
          <t>fanagoriya-rose-kaberne-fran-rozovoe-suhoe-13</t>
        </is>
      </c>
      <c r="D2" t="inlineStr">
        <is>
          <t>Rose. Каберне Фран — Фанагория — Розовое сухое</t>
        </is>
      </c>
      <c r="E2" t="inlineStr">
        <is>
          <t>договоримся так, после __ я буду писать свои комментарии. этого вина нет в наборе, но я не уверен</t>
        </is>
      </c>
      <c r="F2" t="inlineStr">
        <is>
          <t>rozovoe-polusladkoe</t>
        </is>
      </c>
      <c r="G2" t="inlineStr">
        <is>
          <t>vinodelnya-pokrovskaya-marinka-marinovskiy-rozovoe-suhoe-123</t>
        </is>
      </c>
      <c r="H2" t="inlineStr">
        <is>
          <t>zolotaya-balka-pink-sira-rozovoe-suhoe-13</t>
        </is>
      </c>
      <c r="I2" t="inlineStr">
        <is>
          <t>roze-1</t>
        </is>
      </c>
      <c r="J2" t="inlineStr">
        <is>
          <t>fanagoriya-beloe-polusladkoe</t>
        </is>
      </c>
      <c r="K2">
        <f>IF(C2="","",IFERROR(MATCH(C2,F2:J2,0),"нет"))</f>
        <v/>
      </c>
      <c r="L2">
        <f>IF(C2="","",IF(K2=1,1,0))</f>
        <v/>
      </c>
      <c r="M2">
        <f>IF(C2="","",IF(ISNUMBER(K2),1,0))</f>
        <v/>
      </c>
      <c r="N2" t="inlineStr">
        <is>
          <t>Розовое полусладкое — Фанагория — Розовое полусладкое</t>
        </is>
      </c>
      <c r="O2" t="inlineStr">
        <is>
          <t>Маринка — Винодельня Покровская — Розовое сухое</t>
        </is>
      </c>
      <c r="P2" t="inlineStr">
        <is>
          <t>Pink — Золотая Балка — Розовое сухое</t>
        </is>
      </c>
      <c r="Q2" t="inlineStr">
        <is>
          <t>Розе — Галицкий и Галицкий — Розовое сухое</t>
        </is>
      </c>
      <c r="R2" t="inlineStr">
        <is>
          <t>Фанагория белое полусладкое — Фанагория — Белое полусладкое</t>
        </is>
      </c>
      <c r="S2" s="3" t="n">
        <v>0.9248746037483215</v>
      </c>
      <c r="T2" s="3" t="n">
        <v>0.06699769198894501</v>
      </c>
      <c r="U2" t="n">
        <v>1444.3</v>
      </c>
    </row>
    <row r="3">
      <c r="A3" t="inlineStr">
        <is>
          <t>2.69_27-08-2026_14-29-00.webp</t>
        </is>
      </c>
      <c r="B3" t="inlineStr">
        <is>
          <t>нет в каталоге</t>
        </is>
      </c>
      <c r="F3" t="inlineStr">
        <is>
          <t>shato-pino-gravitatsiya-kaberne-sovinon-merlo-krasnoe-suhoe-135</t>
        </is>
      </c>
      <c r="G3" t="inlineStr">
        <is>
          <t>shato-pino-marselan-merlo-krasnoe-suhoe-13</t>
        </is>
      </c>
      <c r="H3" t="inlineStr">
        <is>
          <t>shato-pino-sovinon-blan-semilon-beloe-suhoe-115</t>
        </is>
      </c>
      <c r="I3" t="inlineStr">
        <is>
          <t>shato-pino-pino-nuar-pino-gri-rozovoe-suhoe-115</t>
        </is>
      </c>
      <c r="J3" t="inlineStr">
        <is>
          <t>shato-pino-shato-pino-koldun-merlo-krasnoe-suhoe-137</t>
        </is>
      </c>
      <c r="K3">
        <f>IF(C3="","",IFERROR(MATCH(C3,F3:J3,0),"нет"))</f>
        <v/>
      </c>
      <c r="L3">
        <f>IF(C3="","",IF(K3=1,1,0))</f>
        <v/>
      </c>
      <c r="M3">
        <f>IF(C3="","",IF(ISNUMBER(K3),1,0))</f>
        <v/>
      </c>
      <c r="N3" t="inlineStr">
        <is>
          <t>Гравитация. Каберне Совиньон - Мерло — Шато Пино — Красное сухое</t>
        </is>
      </c>
      <c r="O3" t="inlineStr">
        <is>
          <t>Марселан - Мерло — Шато Пино — Красное сухое</t>
        </is>
      </c>
      <c r="P3" t="inlineStr">
        <is>
          <t>Совиньон Блан - Семильон — Шато Пино — Белое сухое</t>
        </is>
      </c>
      <c r="Q3" t="inlineStr">
        <is>
          <t>Пино Нуар - Пино Гри — Шато Пино — Розовое сухое</t>
        </is>
      </c>
      <c r="R3" t="inlineStr">
        <is>
          <t>Шато Пино «Колдун» — Шато Пино — Красное сухое</t>
        </is>
      </c>
      <c r="S3" s="3" t="n">
        <v>0.660377025604248</v>
      </c>
      <c r="T3" s="3" t="n">
        <v>0.3119400143623352</v>
      </c>
      <c r="U3" t="n">
        <v>652.9</v>
      </c>
    </row>
    <row r="4">
      <c r="A4" t="inlineStr">
        <is>
          <t>41.8_22-08-2026_20-56-40.webp</t>
        </is>
      </c>
      <c r="B4" t="inlineStr">
        <is>
          <t>нет в каталоге</t>
        </is>
      </c>
      <c r="F4" t="inlineStr">
        <is>
          <t>usadba-mezyb-shishka-pino-nuar-rozovoe-suhoe-115</t>
        </is>
      </c>
      <c r="G4" t="inlineStr">
        <is>
          <t>pino-nuar</t>
        </is>
      </c>
      <c r="H4" t="inlineStr">
        <is>
          <t>bakla-vines-pino-nuar-krasnoe-suhoe-125</t>
        </is>
      </c>
      <c r="I4" t="inlineStr">
        <is>
          <t>vaynkraft-pino-nuar-krasnoe-suhoe-13</t>
        </is>
      </c>
      <c r="J4" t="inlineStr">
        <is>
          <t>usadba-perovskih-pino-nuar-rezerv-krasnoe-suhoe-122</t>
        </is>
      </c>
      <c r="K4">
        <f>IF(C4="","",IFERROR(MATCH(C4,F4:J4,0),"нет"))</f>
        <v/>
      </c>
      <c r="L4">
        <f>IF(C4="","",IF(K4=1,1,0))</f>
        <v/>
      </c>
      <c r="M4">
        <f>IF(C4="","",IF(ISNUMBER(K4),1,0))</f>
        <v/>
      </c>
      <c r="N4" t="inlineStr">
        <is>
          <t>Шишка. Пино Нуар — Усадьба Мезыбь — Розовое сухое</t>
        </is>
      </c>
      <c r="O4" t="inlineStr">
        <is>
          <t>Пино Нуар — Галицкий и Галицкий — Красное сухое</t>
        </is>
      </c>
      <c r="P4" t="inlineStr">
        <is>
          <t>Пино Нуар — Bakla Vines — Красное сухое</t>
        </is>
      </c>
      <c r="Q4" t="inlineStr">
        <is>
          <t>Пино Нуар — ВайнКрафт — Красное сухое</t>
        </is>
      </c>
      <c r="R4" t="inlineStr">
        <is>
          <t>Пино Нуар Резерв — Усадьба Перовских — Красное сухое</t>
        </is>
      </c>
      <c r="S4" s="3" t="n">
        <v>0.967592179775238</v>
      </c>
      <c r="T4" s="3" t="n">
        <v>0.0227555874735117</v>
      </c>
      <c r="U4" t="n">
        <v>918</v>
      </c>
    </row>
    <row r="5">
      <c r="A5" t="inlineStr">
        <is>
          <t>48.98_02-09-2026_18-34-15.webp</t>
        </is>
      </c>
      <c r="B5" t="inlineStr">
        <is>
          <t>уверенно</t>
        </is>
      </c>
      <c r="C5" t="inlineStr">
        <is>
          <t>denisov_rubin_klaret_krasnaya_strelka</t>
        </is>
      </c>
      <c r="D5" t="inlineStr">
        <is>
          <t>Рубин кларет . Красная стрелка — Denisov Winery — Розовое сухое</t>
        </is>
      </c>
      <c r="F5" t="inlineStr">
        <is>
          <t>denisov_rubin_klaret_krasnaya_strelka</t>
        </is>
      </c>
      <c r="G5" t="inlineStr">
        <is>
          <t>denisov_pino_noir_klaret</t>
        </is>
      </c>
      <c r="H5" t="inlineStr">
        <is>
          <t>gunko-winery-krasnye-gliny-kaberne-fran-krasnoe-suhoe-14</t>
        </is>
      </c>
      <c r="I5" t="inlineStr">
        <is>
          <t>vinodelnya-78-aligote-otbornoe-beloe-suhoe-12</t>
        </is>
      </c>
      <c r="J5" t="inlineStr">
        <is>
          <t>vinodelnya-pokrovskaya-pokrovskoe-sladkoe-krasnoe-kaberne-sovinon-13</t>
        </is>
      </c>
      <c r="K5">
        <f>IF(C5="","",IFERROR(MATCH(C5,F5:J5,0),"нет"))</f>
        <v/>
      </c>
      <c r="L5">
        <f>IF(C5="","",IF(K5=1,1,0))</f>
        <v/>
      </c>
      <c r="M5">
        <f>IF(C5="","",IF(ISNUMBER(K5),1,0))</f>
        <v/>
      </c>
      <c r="N5" t="inlineStr">
        <is>
          <t>Рубин кларет . Красная стрелка — Denisov Winery — Розовое сухое</t>
        </is>
      </c>
      <c r="O5" t="inlineStr">
        <is>
          <t>Пино Нуар кларет. Красная стрелка — Denisov Winery — Розовое сухое</t>
        </is>
      </c>
      <c r="P5" t="inlineStr">
        <is>
          <t>Красные Глины — Gunko Winery — Красное сухое</t>
        </is>
      </c>
      <c r="Q5" t="inlineStr">
        <is>
          <t>Алиготе Отборное — Винодельня 78 — Белое сухое</t>
        </is>
      </c>
      <c r="R5" t="inlineStr">
        <is>
          <t>Покровское сладкое красное — Винодельня Покровская — Красное сладкое</t>
        </is>
      </c>
      <c r="S5" s="3" t="n">
        <v>0.9999979734420776</v>
      </c>
      <c r="T5" s="3" t="n">
        <v>9.422435596206924e-07</v>
      </c>
      <c r="U5" t="n">
        <v>748.1</v>
      </c>
    </row>
    <row r="6">
      <c r="A6" t="inlineStr">
        <is>
          <t>68.81_05-09-2026_15-46-31.webp</t>
        </is>
      </c>
      <c r="B6" t="inlineStr">
        <is>
          <t>нет в каталоге</t>
        </is>
      </c>
      <c r="F6" t="inlineStr">
        <is>
          <t>fanagoriya-ledyanoe-vino-muskat-muskat-ottonel-beloe-sladkoe-11</t>
        </is>
      </c>
      <c r="G6" t="inlineStr">
        <is>
          <t>soyuz-vino-soyuz-vino-muskat-beloe-polusladkoe-11</t>
        </is>
      </c>
      <c r="H6" t="inlineStr">
        <is>
          <t>usadba-markoth-kaberne-sovinon-rezerv-krasnoe-suhoe-13</t>
        </is>
      </c>
      <c r="I6" t="inlineStr">
        <is>
          <t>valeriy-zaharin-muskat-valeriy-zaharin-muskat-ottonel-beloe-polusladkoe-12</t>
        </is>
      </c>
      <c r="J6" t="inlineStr">
        <is>
          <t>vinodelnya-myshako-muskat-avtorskaya-tehnologiya-mono-beloe-suhoe-128</t>
        </is>
      </c>
      <c r="K6">
        <f>IF(C6="","",IFERROR(MATCH(C6,F6:J6,0),"нет"))</f>
        <v/>
      </c>
      <c r="L6">
        <f>IF(C6="","",IF(K6=1,1,0))</f>
        <v/>
      </c>
      <c r="M6">
        <f>IF(C6="","",IF(ISNUMBER(K6),1,0))</f>
        <v/>
      </c>
      <c r="N6" t="inlineStr">
        <is>
          <t>Ледяное вино. Мускат — Фанагория — Белое сладкое</t>
        </is>
      </c>
      <c r="O6" t="inlineStr">
        <is>
          <t>Союз-Вино Мускат — Союз-Вино — Белое полусладкое</t>
        </is>
      </c>
      <c r="P6" t="inlineStr">
        <is>
          <t>Каберне Совиньон Резерв — Усадьба Маркотх — Красное сухое</t>
        </is>
      </c>
      <c r="Q6" t="inlineStr">
        <is>
          <t>Мускат. Валерий Захарьин — Валерий Захарьин — Белое полусладкое</t>
        </is>
      </c>
      <c r="R6" t="inlineStr">
        <is>
          <t>Мускат. Авторская технология. Моно — Мысхако — Белое сухое</t>
        </is>
      </c>
      <c r="S6" s="3" t="n">
        <v>0.9832557439804077</v>
      </c>
      <c r="T6" s="3" t="n">
        <v>0.01589284837245941</v>
      </c>
      <c r="U6" t="n">
        <v>960.8</v>
      </c>
    </row>
    <row r="7">
      <c r="A7" t="inlineStr">
        <is>
          <t>70.45_04-09-2026_13-35-37.webp</t>
        </is>
      </c>
      <c r="B7" t="inlineStr">
        <is>
          <t>не уверен</t>
        </is>
      </c>
      <c r="C7" t="inlineStr">
        <is>
          <t>fanagoriya-formula-q-kaberne-sovinon-krasnoe-suhoe-135</t>
        </is>
      </c>
      <c r="D7" t="inlineStr">
        <is>
          <t>Формула Q — Фанагория — Красное сухое</t>
        </is>
      </c>
      <c r="E7" t="inlineStr">
        <is>
          <t>на фото слишком яркая этикетка, в каталоге более темная</t>
        </is>
      </c>
      <c r="F7" t="inlineStr">
        <is>
          <t>fanagoriya-formula-q-kaberne-sovinon-krasnoe-suhoe-135</t>
        </is>
      </c>
      <c r="G7" t="inlineStr">
        <is>
          <t>fanagoriya-formula-q-saperavi-krasnoe-suhoe-135</t>
        </is>
      </c>
      <c r="H7" t="inlineStr">
        <is>
          <t>fanagoriya-q-blanc-sovinon-blan-beloe-suhoe-14</t>
        </is>
      </c>
      <c r="I7" t="inlineStr">
        <is>
          <t>fanagoriya-q-bordeaux-blend-kaberne-sovinon-krasnoe-suhoe-135</t>
        </is>
      </c>
      <c r="J7" t="inlineStr">
        <is>
          <t>fanagoriya-beloe-polusladkoe</t>
        </is>
      </c>
      <c r="K7">
        <f>IF(C7="","",IFERROR(MATCH(C7,F7:J7,0),"нет"))</f>
        <v/>
      </c>
      <c r="L7">
        <f>IF(C7="","",IF(K7=1,1,0))</f>
        <v/>
      </c>
      <c r="M7">
        <f>IF(C7="","",IF(ISNUMBER(K7),1,0))</f>
        <v/>
      </c>
      <c r="N7" t="inlineStr">
        <is>
          <t>Формула Q — Фанагория — Красное сухое</t>
        </is>
      </c>
      <c r="O7" t="inlineStr">
        <is>
          <t>Formula Q — Фанагория — Красное сухое</t>
        </is>
      </c>
      <c r="P7" t="inlineStr">
        <is>
          <t>Q Blanc — Фанагория — Белое сухое</t>
        </is>
      </c>
      <c r="Q7" t="inlineStr">
        <is>
          <t>Q Bordeaux Blend — Фанагория — Красное сухое</t>
        </is>
      </c>
      <c r="R7" t="inlineStr">
        <is>
          <t>Фанагория белое полусладкое — Фанагория — Белое полусладкое</t>
        </is>
      </c>
      <c r="S7" s="3" t="n">
        <v>0.9399082660675049</v>
      </c>
      <c r="T7" s="3" t="n">
        <v>1.654564016462245e-06</v>
      </c>
      <c r="U7" t="n">
        <v>1046.9</v>
      </c>
    </row>
    <row r="8">
      <c r="A8" t="inlineStr">
        <is>
          <t>72.97_09-09-2026_19-38-57.webp</t>
        </is>
      </c>
      <c r="B8" t="inlineStr">
        <is>
          <t>нет в каталоге</t>
        </is>
      </c>
      <c r="F8" t="inlineStr">
        <is>
          <t>shato-pino-sovinon-blan-semilon-beloe-suhoe-115</t>
        </is>
      </c>
      <c r="G8" t="inlineStr">
        <is>
          <t>shato-pino-grand-reserve-chardonnay-shardone-beloe-suhoe-125</t>
        </is>
      </c>
      <c r="H8" t="inlineStr">
        <is>
          <t>shato-pino-gravitatsiya-kaberne-sovinon-merlo-krasnoe-suhoe-135</t>
        </is>
      </c>
      <c r="I8" t="inlineStr">
        <is>
          <t>shato-pino-blan-de-blan-shardone-beloe-ekstra-bryut-12</t>
        </is>
      </c>
      <c r="J8" t="inlineStr">
        <is>
          <t>shato-pino-marselan-merlo-krasnoe-suhoe-13</t>
        </is>
      </c>
      <c r="K8">
        <f>IF(C8="","",IFERROR(MATCH(C8,F8:J8,0),"нет"))</f>
        <v/>
      </c>
      <c r="L8">
        <f>IF(C8="","",IF(K8=1,1,0))</f>
        <v/>
      </c>
      <c r="M8">
        <f>IF(C8="","",IF(ISNUMBER(K8),1,0))</f>
        <v/>
      </c>
      <c r="N8" t="inlineStr">
        <is>
          <t>Совиньон Блан - Семильон — Шато Пино — Белое сухое</t>
        </is>
      </c>
      <c r="O8" t="inlineStr">
        <is>
          <t>Grand Reserve Chardonnay — Шато Пино — Белое сухое</t>
        </is>
      </c>
      <c r="P8" t="inlineStr">
        <is>
          <t>Гравитация. Каберне Совиньон - Мерло — Шато Пино — Красное сухое</t>
        </is>
      </c>
      <c r="Q8" t="inlineStr">
        <is>
          <t>Блан Де Блан — Шато Пино — Белое экстра брют</t>
        </is>
      </c>
      <c r="R8" t="inlineStr">
        <is>
          <t>Марселан - Мерло — Шато Пино — Красное сухое</t>
        </is>
      </c>
      <c r="S8" s="3" t="n">
        <v>0.999779999256134</v>
      </c>
      <c r="T8" s="3" t="n">
        <v>0.0001233826478710398</v>
      </c>
      <c r="U8" t="n">
        <v>590.6</v>
      </c>
    </row>
    <row r="9">
      <c r="A9" t="inlineStr">
        <is>
          <t>82.33_27-08-2026_10-03-52.webp</t>
        </is>
      </c>
      <c r="B9" t="inlineStr">
        <is>
          <t>уверенно</t>
        </is>
      </c>
      <c r="C9" t="inlineStr">
        <is>
          <t>skalistyj-bereg-shepot-czvetov</t>
        </is>
      </c>
      <c r="D9" t="inlineStr">
        <is>
          <t>Скалистый берег Шепот цветов — Скалистый берег — Белое сухое</t>
        </is>
      </c>
      <c r="F9" t="inlineStr">
        <is>
          <t>skalistyj-bereg-shepot-czvetov</t>
        </is>
      </c>
      <c r="G9" t="inlineStr">
        <is>
          <t>skalistyy-bereg-melodiya-leta-krasnostop-zolotovskiy-rozovoe-suhoe-126</t>
        </is>
      </c>
      <c r="H9" t="inlineStr">
        <is>
          <t>skalistyy-bereg-dyhanie-voln-shardone-beloe-suhoe-121</t>
        </is>
      </c>
      <c r="I9" t="inlineStr">
        <is>
          <t>vysokij-bereg-czvajgelt</t>
        </is>
      </c>
      <c r="J9" t="inlineStr">
        <is>
          <t>belbek-rkatsiteli-beloe-suhoe-13</t>
        </is>
      </c>
      <c r="K9">
        <f>IF(C9="","",IFERROR(MATCH(C9,F9:J9,0),"нет"))</f>
        <v/>
      </c>
      <c r="L9">
        <f>IF(C9="","",IF(K9=1,1,0))</f>
        <v/>
      </c>
      <c r="M9">
        <f>IF(C9="","",IF(ISNUMBER(K9),1,0))</f>
        <v/>
      </c>
      <c r="N9" t="inlineStr">
        <is>
          <t>Скалистый берег Шепот цветов — Скалистый берег — Белое сухое</t>
        </is>
      </c>
      <c r="O9" t="inlineStr">
        <is>
          <t>Мелодия лета — Скалистый берег — Розовое сухое</t>
        </is>
      </c>
      <c r="P9" t="inlineStr">
        <is>
          <t>Дыхание волн — Скалистый берег — Белое сухое</t>
        </is>
      </c>
      <c r="Q9" t="inlineStr">
        <is>
          <t>Высокий Берег Цвайгельт — Кубань-Вино — Розовое сухое</t>
        </is>
      </c>
      <c r="R9" t="inlineStr">
        <is>
          <t>Ркацители — Бельбек — Белое сухое</t>
        </is>
      </c>
      <c r="S9" s="3" t="n">
        <v>0.9999998807907104</v>
      </c>
      <c r="T9" s="3" t="n">
        <v>1.125351616337866e-07</v>
      </c>
      <c r="U9" t="n">
        <v>809.6</v>
      </c>
    </row>
    <row r="10">
      <c r="A10" t="inlineStr">
        <is>
          <t>84.73_07-09-2026_11-07-51.webp</t>
        </is>
      </c>
      <c r="B10" t="inlineStr">
        <is>
          <t>уверенно</t>
        </is>
      </c>
      <c r="C10" t="inlineStr">
        <is>
          <t>zhemchuzhnaya-9-aligote-czitron</t>
        </is>
      </c>
      <c r="D10" t="inlineStr">
        <is>
          <t>Жемчужная 9 Алиготе, Цитрон — АРАТТИ — Белое сухое</t>
        </is>
      </c>
      <c r="F10" t="inlineStr">
        <is>
          <t>zhemchuzhnaya-9-aligote-czitron</t>
        </is>
      </c>
      <c r="G10" t="inlineStr">
        <is>
          <t>zhemchuzhnaya-9-czitron-shardone</t>
        </is>
      </c>
      <c r="H10" t="inlineStr">
        <is>
          <t>zhemchuzhnaya-9-sovinon-blan-aligote</t>
        </is>
      </c>
      <c r="I10" t="inlineStr">
        <is>
          <t>zhemchuzhnaya-9-czitron-shardone-1</t>
        </is>
      </c>
      <c r="J10" t="inlineStr">
        <is>
          <t>czitronnyj-magaracha-sovinon-blan</t>
        </is>
      </c>
      <c r="K10">
        <f>IF(C10="","",IFERROR(MATCH(C10,F10:J10,0),"нет"))</f>
        <v/>
      </c>
      <c r="L10">
        <f>IF(C10="","",IF(K10=1,1,0))</f>
        <v/>
      </c>
      <c r="M10">
        <f>IF(C10="","",IF(ISNUMBER(K10),1,0))</f>
        <v/>
      </c>
      <c r="N10" t="inlineStr">
        <is>
          <t>Жемчужная 9 Алиготе, Цитрон — АРАТТИ — Белое сухое</t>
        </is>
      </c>
      <c r="O10" t="inlineStr">
        <is>
          <t>Жемчужная 9 Цитрон, Шардоне — АРАТТИ — Белое сухое</t>
        </is>
      </c>
      <c r="P10" t="inlineStr">
        <is>
          <t>Жемчужная 9 Совиньон блан, Алиготе — АРАТТИ — Белое сухое</t>
        </is>
      </c>
      <c r="Q10" t="inlineStr">
        <is>
          <t>Жемчужная 9 Цитрон, Шардоне — АРАТТИ — Белое полусладкое</t>
        </is>
      </c>
      <c r="R10" t="inlineStr">
        <is>
          <t>Жемчужная 9 Цитрон, Совиньон блан — АРАТТИ — Белое полусухое</t>
        </is>
      </c>
      <c r="S10" s="3" t="n">
        <v>0.9999995231628418</v>
      </c>
      <c r="T10" s="3" t="n">
        <v>2.382368506914645e-07</v>
      </c>
      <c r="U10" t="n">
        <v>629</v>
      </c>
    </row>
    <row r="11">
      <c r="A11" t="inlineStr">
        <is>
          <t>87.09_22-08-2026_20-57-16.webp</t>
        </is>
      </c>
      <c r="B11" t="inlineStr">
        <is>
          <t>уверенно</t>
        </is>
      </c>
      <c r="C11" t="inlineStr">
        <is>
          <t>pobeda</t>
        </is>
      </c>
      <c r="D11" t="inlineStr">
        <is>
          <t>Победа — Табия — Красное сухое</t>
        </is>
      </c>
      <c r="F11" t="inlineStr">
        <is>
          <t>pobeda</t>
        </is>
      </c>
      <c r="G11" t="inlineStr">
        <is>
          <t>vinodelnya-begildeeva-kaberne-sovinon-krasnoe-suhoe-14</t>
        </is>
      </c>
      <c r="H11" t="inlineStr">
        <is>
          <t>kaberne-sovinon-2</t>
        </is>
      </c>
      <c r="I11" t="inlineStr">
        <is>
          <t>rubin-golodrigi</t>
        </is>
      </c>
      <c r="J11" t="inlineStr">
        <is>
          <t>chateau-de-talu-kaberne-sovinon-rezerv-krasnoe-suhoe-14</t>
        </is>
      </c>
      <c r="K11">
        <f>IF(C11="","",IFERROR(MATCH(C11,F11:J11,0),"нет"))</f>
        <v/>
      </c>
      <c r="L11">
        <f>IF(C11="","",IF(K11=1,1,0))</f>
        <v/>
      </c>
      <c r="M11">
        <f>IF(C11="","",IF(ISNUMBER(K11),1,0))</f>
        <v/>
      </c>
      <c r="N11" t="inlineStr">
        <is>
          <t>Победа — Табия — Красное сухое</t>
        </is>
      </c>
      <c r="O11" t="inlineStr">
        <is>
          <t>Каберне Совиньон — Винодельня Бегильдеева — Красное сухое</t>
        </is>
      </c>
      <c r="P11" t="inlineStr">
        <is>
          <t>Каберне Совиньон — Табия — Красное сухое</t>
        </is>
      </c>
      <c r="Q11" t="inlineStr">
        <is>
          <t>Рубин Голодриги  — Табия — Красное сухое</t>
        </is>
      </c>
      <c r="R11" t="inlineStr">
        <is>
          <t>Каберне Совиньон Резерв — Chateau de Talu — Красное сухое</t>
        </is>
      </c>
      <c r="S11" s="3" t="n">
        <v>0.9999990463256836</v>
      </c>
      <c r="T11" s="3" t="n">
        <v>6.475946179307357e-07</v>
      </c>
      <c r="U11" t="n">
        <v>612.7</v>
      </c>
    </row>
    <row r="12">
      <c r="A12" t="inlineStr">
        <is>
          <t>87.54_03-09-2026_13-27-53.webp</t>
        </is>
      </c>
      <c r="B12" t="inlineStr">
        <is>
          <t>уверенно</t>
        </is>
      </c>
      <c r="C12" t="inlineStr">
        <is>
          <t>relikta-relikta-sira-kaberne-fran-krasnoe-suhoe-13</t>
        </is>
      </c>
      <c r="D12" t="inlineStr">
        <is>
          <t>Реликта Сира, Каберне Фран — Реликта — Красное сухое</t>
        </is>
      </c>
      <c r="F12" t="inlineStr">
        <is>
          <t>relikta-relikta-sira-kaberne-fran-krasnoe-suhoe-13</t>
        </is>
      </c>
      <c r="G12" t="inlineStr">
        <is>
          <t>relikta-relikta-kaberne-sovinon-krasnoe-suhoe-135</t>
        </is>
      </c>
      <c r="H12" t="inlineStr">
        <is>
          <t>relikta-relikta-sira-krasnoe-suhoe-13</t>
        </is>
      </c>
      <c r="I12" t="inlineStr">
        <is>
          <t>relikta-relikta-merlo-kaberne-sovinon-krasnoe-suhoe-135</t>
        </is>
      </c>
      <c r="J12" t="inlineStr">
        <is>
          <t>relikta-relikta-merlo-krasnoe-suhoe-135</t>
        </is>
      </c>
      <c r="K12">
        <f>IF(C12="","",IFERROR(MATCH(C12,F12:J12,0),"нет"))</f>
        <v/>
      </c>
      <c r="L12">
        <f>IF(C12="","",IF(K12=1,1,0))</f>
        <v/>
      </c>
      <c r="M12">
        <f>IF(C12="","",IF(ISNUMBER(K12),1,0))</f>
        <v/>
      </c>
      <c r="N12" t="inlineStr">
        <is>
          <t>Реликта Сира, Каберне Фран — Реликта — Красное сухое</t>
        </is>
      </c>
      <c r="O12" t="inlineStr">
        <is>
          <t>Реликта Каберне Совиньон — Реликта — Красное сухое</t>
        </is>
      </c>
      <c r="P12" t="inlineStr">
        <is>
          <t>Реликта Сира — Реликта — Красное сухое</t>
        </is>
      </c>
      <c r="Q12" t="inlineStr">
        <is>
          <t>Реликта Мерло, Каберне Совиньон — Реликта — Красное сухое</t>
        </is>
      </c>
      <c r="R12" t="inlineStr">
        <is>
          <t>Реликта Мерло — Реликта — Красное сухое</t>
        </is>
      </c>
      <c r="S12" s="3" t="n">
        <v>0.9999998807907104</v>
      </c>
      <c r="T12" s="3" t="n">
        <v>4.139937459513021e-08</v>
      </c>
      <c r="U12" t="n">
        <v>1190.8</v>
      </c>
    </row>
    <row r="13">
      <c r="A13" t="inlineStr">
        <is>
          <t>87.6_20-08-2026_19-56-56.webp</t>
        </is>
      </c>
      <c r="B13" t="inlineStr">
        <is>
          <t>не уверен</t>
        </is>
      </c>
      <c r="C13" t="inlineStr">
        <is>
          <t>leto-shardone-2023-suhoe-beloe</t>
        </is>
      </c>
      <c r="D13" t="inlineStr">
        <is>
          <t>LETO Шардоне 2023 сухое белое — LETO — Белое сухое</t>
        </is>
      </c>
      <c r="E13" t="inlineStr">
        <is>
          <t>есть такое, но на фото черная этикетка вместо белой</t>
        </is>
      </c>
      <c r="F13" t="inlineStr">
        <is>
          <t>vinodelnya-uzunov-shardone-rezerv-beloe-suhoe-135</t>
        </is>
      </c>
      <c r="G13" t="inlineStr">
        <is>
          <t>vinodelnya-konstantina-dzitoeva-kd-shardone-beloe-suhoe-128</t>
        </is>
      </c>
      <c r="H13" t="inlineStr">
        <is>
          <t>vinodelnya-uzunov-rash-rezerv-risling-reynskiy-beloe-suhoe-127</t>
        </is>
      </c>
      <c r="I13" t="inlineStr">
        <is>
          <t>vinodelnya-uzunov-nrav-rezerv-krasnostop-zolotovskiy-krasnoe-suhoe-139</t>
        </is>
      </c>
      <c r="J13" t="inlineStr">
        <is>
          <t>vinodelnya-vedernikov-tsimlyanskiy-chernyy-rezerv-krasnoe-suhoe-145</t>
        </is>
      </c>
      <c r="K13">
        <f>IF(C13="","",IFERROR(MATCH(C13,F13:J13,0),"нет"))</f>
        <v/>
      </c>
      <c r="L13">
        <f>IF(C13="","",IF(K13=1,1,0))</f>
        <v/>
      </c>
      <c r="M13">
        <f>IF(C13="","",IF(ISNUMBER(K13),1,0))</f>
        <v/>
      </c>
      <c r="N13" t="inlineStr">
        <is>
          <t>Шардоне Резерв — Винодельня Узунов — Белое сухое</t>
        </is>
      </c>
      <c r="O13" t="inlineStr">
        <is>
          <t>KD Шардоне — Винодельня Константина Дзитоева — Белое сухое</t>
        </is>
      </c>
      <c r="P13" t="inlineStr">
        <is>
          <t>РАШ Резерв — Винодельня Узунов — Белое сухое</t>
        </is>
      </c>
      <c r="Q13" t="inlineStr">
        <is>
          <t>Нрав Резерв — Винодельня Узунов — Красное сухое</t>
        </is>
      </c>
      <c r="R13" t="inlineStr">
        <is>
          <t>Цимлянский Черный Резерв — Ведерниковъ — Красное сухое</t>
        </is>
      </c>
      <c r="S13" s="3" t="n">
        <v>0.9997797608375549</v>
      </c>
      <c r="T13" s="3" t="n">
        <v>3.534971256158315e-05</v>
      </c>
      <c r="U13" t="n">
        <v>908.8</v>
      </c>
    </row>
    <row r="14">
      <c r="A14" t="inlineStr">
        <is>
          <t>87.81_09-09-2026_17-16-36.webp</t>
        </is>
      </c>
      <c r="B14" t="inlineStr">
        <is>
          <t>не уверен</t>
        </is>
      </c>
      <c r="C14" t="inlineStr">
        <is>
          <t>aya-organic-wine-vineyards-purity-in-chenin-blanc-shenen-blan-beloe-suhoe-11</t>
        </is>
      </c>
      <c r="D14" t="inlineStr">
        <is>
          <t>Purity in Chenin Blanc — AYA Organic Wine &amp; Vineyards — Белое сухое</t>
        </is>
      </c>
      <c r="E14" t="inlineStr">
        <is>
          <t>есть похожее, но в названии вместо in balance написано in-chenin-blanc</t>
        </is>
      </c>
      <c r="F14" t="inlineStr">
        <is>
          <t>aya-organic-wine-vineyards-purity-in-chenin-blanc-shenen-blan-beloe-suhoe-11</t>
        </is>
      </c>
      <c r="G14" t="inlineStr">
        <is>
          <t>aya-organic-wine-vineyards-purity-in-syrah-sira-rozovoe-suhoe-132</t>
        </is>
      </c>
      <c r="H14" t="inlineStr">
        <is>
          <t>aya-organic-wine-vineyards-purity-in-syrah-sira-krasnoe-suhoe-146</t>
        </is>
      </c>
      <c r="I14" t="inlineStr">
        <is>
          <t>aya-organic-wine-vineyards-purity-in-merlot-merlo-rozovoe-suhoe-134</t>
        </is>
      </c>
      <c r="J14" t="inlineStr">
        <is>
          <t>aya-organic-wine-vineyards-purity-in-trinity-pino-nuar-rozovoe-suhoe-13</t>
        </is>
      </c>
      <c r="K14">
        <f>IF(C14="","",IFERROR(MATCH(C14,F14:J14,0),"нет"))</f>
        <v/>
      </c>
      <c r="L14">
        <f>IF(C14="","",IF(K14=1,1,0))</f>
        <v/>
      </c>
      <c r="M14">
        <f>IF(C14="","",IF(ISNUMBER(K14),1,0))</f>
        <v/>
      </c>
      <c r="N14" t="inlineStr">
        <is>
          <t>Purity in Chenin Blanc — AYA Organic Wine &amp; Vineyards — Белое сухое</t>
        </is>
      </c>
      <c r="O14" t="inlineStr">
        <is>
          <t>Purity in Syrah — AYA Organic Wine &amp; Vineyards — Розовое сухое</t>
        </is>
      </c>
      <c r="P14" t="inlineStr">
        <is>
          <t>Purity in Syrah — AYA Organic Wine &amp; Vineyards — Красное сухое</t>
        </is>
      </c>
      <c r="Q14" t="inlineStr">
        <is>
          <t>Purity in Merlot — AYA Organic Wine &amp; Vineyards — Розовое сухое</t>
        </is>
      </c>
      <c r="R14" t="inlineStr">
        <is>
          <t>Purity in Trinity — AYA Organic Wine &amp; Vineyards — Розовое сухое</t>
        </is>
      </c>
      <c r="S14" s="3" t="n">
        <v>0.9524672627449036</v>
      </c>
      <c r="T14" s="3" t="n">
        <v>0.04742055386304855</v>
      </c>
      <c r="U14" t="n">
        <v>595.4</v>
      </c>
    </row>
    <row r="15">
      <c r="A15" t="inlineStr">
        <is>
          <t>87.88_28-08-2026_16-56-20.webp</t>
        </is>
      </c>
      <c r="B15" t="inlineStr">
        <is>
          <t>не уверен</t>
        </is>
      </c>
      <c r="C15" t="inlineStr">
        <is>
          <t>massandra-muskatel-belyy-belye-sorta-vinograda-beloe-sladkoe-16</t>
        </is>
      </c>
      <c r="D15" t="inlineStr">
        <is>
          <t>Мускатель белый — Массандра — Белое сладкое</t>
        </is>
      </c>
      <c r="E15" t="inlineStr">
        <is>
          <t>есть такое, но год урожая отличается</t>
        </is>
      </c>
      <c r="F15" t="inlineStr">
        <is>
          <t>massandra-muskatel-belyy-belye-sorta-vinograda-beloe-sladkoe-16</t>
        </is>
      </c>
      <c r="G15" t="inlineStr">
        <is>
          <t>massandra-muskatel-rozovyy-belye-sorta-vinograda-rozovoe-sladkoe-16</t>
        </is>
      </c>
      <c r="H15" t="inlineStr">
        <is>
          <t>massandra-muskat-belyy-yuzhnoberezhnyy-beloe-sladkoe-16</t>
        </is>
      </c>
      <c r="I15" t="inlineStr">
        <is>
          <t>massandra-muskatel-chernyy-krasnye-sorta-vinograda-krasnoe-sladkoe-16</t>
        </is>
      </c>
      <c r="J15" t="inlineStr">
        <is>
          <t>massandra-muskat</t>
        </is>
      </c>
      <c r="K15">
        <f>IF(C15="","",IFERROR(MATCH(C15,F15:J15,0),"нет"))</f>
        <v/>
      </c>
      <c r="L15">
        <f>IF(C15="","",IF(K15=1,1,0))</f>
        <v/>
      </c>
      <c r="M15">
        <f>IF(C15="","",IF(ISNUMBER(K15),1,0))</f>
        <v/>
      </c>
      <c r="N15" t="inlineStr">
        <is>
          <t>Мускатель белый — Массандра — Белое сладкое</t>
        </is>
      </c>
      <c r="O15" t="inlineStr">
        <is>
          <t>Мускатель розовый — Массандра — Розовое сладкое</t>
        </is>
      </c>
      <c r="P15" t="inlineStr">
        <is>
          <t>Мускат Белый Южнобережный — Массандра — Белое сладкое</t>
        </is>
      </c>
      <c r="Q15" t="inlineStr">
        <is>
          <t>Мускатель черный — Массандра — Красное сладкое</t>
        </is>
      </c>
      <c r="R15" t="inlineStr">
        <is>
          <t>Массандра Мускат — Массандра — Белое сухое</t>
        </is>
      </c>
      <c r="S15" s="3" t="n">
        <v>0.9999985694885254</v>
      </c>
      <c r="T15" s="3" t="n">
        <v>5.043469286647451e-07</v>
      </c>
      <c r="U15" t="n">
        <v>735.4</v>
      </c>
    </row>
    <row r="16">
      <c r="A16" t="inlineStr">
        <is>
          <t>88.2_05-09-2026_16-29-06.webp</t>
        </is>
      </c>
      <c r="B16" t="inlineStr">
        <is>
          <t>нет в каталоге</t>
        </is>
      </c>
      <c r="F16" t="inlineStr">
        <is>
          <t>kuban-vino-kaberne-de-tamane-kaberne-sovinon-krasnoe-suhoe-125</t>
        </is>
      </c>
      <c r="G16" t="inlineStr">
        <is>
          <t>inkerman-shato-blan</t>
        </is>
      </c>
      <c r="H16" t="inlineStr">
        <is>
          <t>inkerman-shato-ruzh</t>
        </is>
      </c>
      <c r="I16" t="inlineStr">
        <is>
          <t>vinodelnya-begildeeva-kaberne-sovinon-krasnoe-suhoe-14</t>
        </is>
      </c>
      <c r="J16" t="inlineStr">
        <is>
          <t>inkermanskiy-zmv-winemakers-selection-saperavi-krasnoe-polusladkoe-12</t>
        </is>
      </c>
      <c r="K16">
        <f>IF(C16="","",IFERROR(MATCH(C16,F16:J16,0),"нет"))</f>
        <v/>
      </c>
      <c r="L16">
        <f>IF(C16="","",IF(K16=1,1,0))</f>
        <v/>
      </c>
      <c r="M16">
        <f>IF(C16="","",IF(ISNUMBER(K16),1,0))</f>
        <v/>
      </c>
      <c r="N16" t="inlineStr">
        <is>
          <t>Каберне де Тамань — Кубань-Вино — Красное сухое</t>
        </is>
      </c>
      <c r="O16" t="inlineStr">
        <is>
          <t>Инкерман Шато Блан — Инкерманский ЗМВ — Белое полусухое</t>
        </is>
      </c>
      <c r="P16" t="inlineStr">
        <is>
          <t>Inkerman Шато Руж — Инкерманский ЗМВ — Красное полусухое</t>
        </is>
      </c>
      <c r="Q16" t="inlineStr">
        <is>
          <t>Каберне Совиньон — Винодельня Бегильдеева — Красное сухое</t>
        </is>
      </c>
      <c r="R16" t="inlineStr">
        <is>
          <t>Winemaker's Selection Саперави — Инкерманский ЗМВ — Красное полусладкое</t>
        </is>
      </c>
      <c r="S16" s="3" t="n">
        <v>0.9999821186065674</v>
      </c>
      <c r="T16" s="3" t="n">
        <v>3.288701009296346e-06</v>
      </c>
      <c r="U16" t="n">
        <v>727.5</v>
      </c>
    </row>
    <row r="17">
      <c r="A17" t="inlineStr">
        <is>
          <t>88.38_20-08-2026_18-32-58.webp</t>
        </is>
      </c>
      <c r="B17" t="inlineStr">
        <is>
          <t>уверенно</t>
        </is>
      </c>
      <c r="C17" t="inlineStr">
        <is>
          <t>czitronnyj-magaracha-sovinon-blan</t>
        </is>
      </c>
      <c r="D17" t="inlineStr">
        <is>
          <t>Жемчужная 9 Цитрон, Совиньон блан — АРАТТИ — Белое полусухое</t>
        </is>
      </c>
      <c r="F17" t="inlineStr">
        <is>
          <t>czitronnyj-magaracha-sovinon-blan</t>
        </is>
      </c>
      <c r="G17" t="inlineStr">
        <is>
          <t>zhemchuzhnaya-9-czitron-shardone-1</t>
        </is>
      </c>
      <c r="H17" t="inlineStr">
        <is>
          <t>zhemchuzhnaya-9-aligote-czitron</t>
        </is>
      </c>
      <c r="I17" t="inlineStr">
        <is>
          <t>zhemchuzhnaya-9-czitron-shardone</t>
        </is>
      </c>
      <c r="J17" t="inlineStr">
        <is>
          <t>zhemchuzhnaya-9-sovinon-blan-aligote</t>
        </is>
      </c>
      <c r="K17">
        <f>IF(C17="","",IFERROR(MATCH(C17,F17:J17,0),"нет"))</f>
        <v/>
      </c>
      <c r="L17">
        <f>IF(C17="","",IF(K17=1,1,0))</f>
        <v/>
      </c>
      <c r="M17">
        <f>IF(C17="","",IF(ISNUMBER(K17),1,0))</f>
        <v/>
      </c>
      <c r="N17" t="inlineStr">
        <is>
          <t>Жемчужная 9 Цитрон, Совиньон блан — АРАТТИ — Белое полусухое</t>
        </is>
      </c>
      <c r="O17" t="inlineStr">
        <is>
          <t>Жемчужная 9 Цитрон, Шардоне — АРАТТИ — Белое полусладкое</t>
        </is>
      </c>
      <c r="P17" t="inlineStr">
        <is>
          <t>Жемчужная 9 Алиготе, Цитрон — АРАТТИ — Белое сухое</t>
        </is>
      </c>
      <c r="Q17" t="inlineStr">
        <is>
          <t>Жемчужная 9 Цитрон, Шардоне — АРАТТИ — Белое сухое</t>
        </is>
      </c>
      <c r="R17" t="inlineStr">
        <is>
          <t>Жемчужная 9 Совиньон блан, Алиготе — АРАТТИ — Белое сухое</t>
        </is>
      </c>
      <c r="S17" s="3" t="n">
        <v>0.9999717473983765</v>
      </c>
      <c r="T17" s="3" t="n">
        <v>2.699502203995507e-07</v>
      </c>
      <c r="U17" t="n">
        <v>630.1</v>
      </c>
    </row>
    <row r="18">
      <c r="A18" t="inlineStr">
        <is>
          <t>89.65_19-08-2026_19-48-39.webp</t>
        </is>
      </c>
      <c r="B18" t="inlineStr">
        <is>
          <t>уверенно</t>
        </is>
      </c>
      <c r="C18" t="inlineStr">
        <is>
          <t>rozovoe-zoloto</t>
        </is>
      </c>
      <c r="D18" t="inlineStr">
        <is>
          <t>Розовое золото — Табия — Розовое полусухое</t>
        </is>
      </c>
      <c r="F18" t="inlineStr">
        <is>
          <t>rozovoe-zoloto</t>
        </is>
      </c>
      <c r="G18" t="inlineStr">
        <is>
          <t>bukovinka</t>
        </is>
      </c>
      <c r="H18" t="inlineStr">
        <is>
          <t>roze-2</t>
        </is>
      </c>
      <c r="I18" t="inlineStr">
        <is>
          <t>rubin-golodrigi</t>
        </is>
      </c>
      <c r="J18" t="inlineStr">
        <is>
          <t>oleg</t>
        </is>
      </c>
      <c r="K18">
        <f>IF(C18="","",IFERROR(MATCH(C18,F18:J18,0),"нет"))</f>
        <v/>
      </c>
      <c r="L18">
        <f>IF(C18="","",IF(K18=1,1,0))</f>
        <v/>
      </c>
      <c r="M18">
        <f>IF(C18="","",IF(ISNUMBER(K18),1,0))</f>
        <v/>
      </c>
      <c r="N18" t="inlineStr">
        <is>
          <t>Розовое золото — Табия — Розовое полусухое</t>
        </is>
      </c>
      <c r="O18" t="inlineStr">
        <is>
          <t>Буковинка — Табия — Белое полусухое</t>
        </is>
      </c>
      <c r="P18" t="inlineStr">
        <is>
          <t>Розе — Табия — Розовое сухое</t>
        </is>
      </c>
      <c r="Q18" t="inlineStr">
        <is>
          <t>Рубин Голодриги  — Табия — Красное сухое</t>
        </is>
      </c>
      <c r="R18" t="inlineStr">
        <is>
          <t>Олег — Табия — Белое сухое</t>
        </is>
      </c>
      <c r="S18" s="3" t="n">
        <v>0.9999997615814209</v>
      </c>
      <c r="T18" s="3" t="n">
        <v>1.444980028963982e-07</v>
      </c>
      <c r="U18" t="n">
        <v>587.1</v>
      </c>
    </row>
    <row r="19">
      <c r="A19" t="inlineStr">
        <is>
          <t>90.5_02-09-2026_10-32-11.webp</t>
        </is>
      </c>
      <c r="B19" t="inlineStr">
        <is>
          <t>нет в каталоге</t>
        </is>
      </c>
      <c r="F19" t="inlineStr">
        <is>
          <t>inkerman-shato-ruzh</t>
        </is>
      </c>
      <c r="G19" t="inlineStr">
        <is>
          <t>inkerman-muskatnoe-beloe</t>
        </is>
      </c>
      <c r="H19" t="inlineStr">
        <is>
          <t>inkermanskiy-zmv-inkerman-rozovoe-polusladkoe-rkatsiteli-12</t>
        </is>
      </c>
      <c r="I19" t="inlineStr">
        <is>
          <t>inkermanskiy-zmv-inkerman-bryut-shardone-beloe-135</t>
        </is>
      </c>
      <c r="J19" t="inlineStr">
        <is>
          <t>inkerman-shato-blan</t>
        </is>
      </c>
      <c r="K19">
        <f>IF(C19="","",IFERROR(MATCH(C19,F19:J19,0),"нет"))</f>
        <v/>
      </c>
      <c r="L19">
        <f>IF(C19="","",IF(K19=1,1,0))</f>
        <v/>
      </c>
      <c r="M19">
        <f>IF(C19="","",IF(ISNUMBER(K19),1,0))</f>
        <v/>
      </c>
      <c r="N19" t="inlineStr">
        <is>
          <t>Inkerman Шато Руж — Инкерманский ЗМВ — Красное полусухое</t>
        </is>
      </c>
      <c r="O19" t="inlineStr">
        <is>
          <t>Inkerman Мускатное белое — Инкерманский ЗМВ — Белое полусладкое</t>
        </is>
      </c>
      <c r="P19" t="inlineStr">
        <is>
          <t>Инкерман Розовое полусладкое — Инкерманский ЗМВ — Розовое полусладкое</t>
        </is>
      </c>
      <c r="Q19" t="inlineStr">
        <is>
          <t>Inkerman брют — Инкерманский ЗМВ — Белое брют</t>
        </is>
      </c>
      <c r="R19" t="inlineStr">
        <is>
          <t>Инкерман Шато Блан — Инкерманский ЗМВ — Белое полусухое</t>
        </is>
      </c>
      <c r="S19" s="3" t="n">
        <v>0.7525316476821899</v>
      </c>
      <c r="T19" s="3" t="n">
        <v>1.42420421980205e-05</v>
      </c>
      <c r="U19" t="n">
        <v>763.6</v>
      </c>
    </row>
    <row r="20">
      <c r="A20" t="inlineStr">
        <is>
          <t>91.07_20-08-2026_18-37-46.webp</t>
        </is>
      </c>
      <c r="B20" t="inlineStr">
        <is>
          <t>уверенно</t>
        </is>
      </c>
      <c r="C20" t="inlineStr">
        <is>
          <t>aratti-kaberne-sovinon-2021-krasnoe-suhoe</t>
        </is>
      </c>
      <c r="D20" t="inlineStr">
        <is>
          <t>АРАТТИ Каберне Совиньон 2021 красное сухое — АРАТТИ — Красное сухое</t>
        </is>
      </c>
      <c r="F20" t="inlineStr">
        <is>
          <t>aratti-kaberne-sovinon-2021-krasnoe-suhoe</t>
        </is>
      </c>
      <c r="G20" t="inlineStr">
        <is>
          <t>aratti-kaberne-po-belomu-1</t>
        </is>
      </c>
      <c r="H20" t="inlineStr">
        <is>
          <t>aratti-kaberne-sovinon-2020-krasnoe-suhoe</t>
        </is>
      </c>
      <c r="I20" t="inlineStr">
        <is>
          <t>aratti-kaberne-po-belomu</t>
        </is>
      </c>
      <c r="J20" t="inlineStr">
        <is>
          <t>aratti-sovinon-blan-beloe-polusuhoe</t>
        </is>
      </c>
      <c r="K20">
        <f>IF(C20="","",IFERROR(MATCH(C20,F20:J20,0),"нет"))</f>
        <v/>
      </c>
      <c r="L20">
        <f>IF(C20="","",IF(K20=1,1,0))</f>
        <v/>
      </c>
      <c r="M20">
        <f>IF(C20="","",IF(ISNUMBER(K20),1,0))</f>
        <v/>
      </c>
      <c r="N20" t="inlineStr">
        <is>
          <t>АРАТТИ Каберне Совиньон 2021 красное сухое — АРАТТИ — Красное сухое</t>
        </is>
      </c>
      <c r="O20" t="inlineStr">
        <is>
          <t>АРАТТИ Каберне по-белому — АРАТТИ — Розовое полусухое</t>
        </is>
      </c>
      <c r="P20" t="inlineStr">
        <is>
          <t>АРАТТИ Каберне Совиньон 2020 красное сухое — АРАТТИ — Красное сухое</t>
        </is>
      </c>
      <c r="Q20" t="inlineStr">
        <is>
          <t>АРАТТИ Каберне по-белому — АРАТТИ — Красное сухое</t>
        </is>
      </c>
      <c r="R20" t="inlineStr">
        <is>
          <t>АРАТТИ Совиньон блан белое полусухое — АРАТТИ — Белое полусухое</t>
        </is>
      </c>
      <c r="S20" s="3" t="n">
        <v>0.9999011754989624</v>
      </c>
      <c r="T20" s="3" t="n">
        <v>6.143605332908919e-06</v>
      </c>
      <c r="U20" t="n">
        <v>647.3</v>
      </c>
    </row>
    <row r="21">
      <c r="A21" t="inlineStr">
        <is>
          <t>91.43_02-09-2026_12-08-50.webp</t>
        </is>
      </c>
      <c r="B21" t="inlineStr">
        <is>
          <t>уверенно</t>
        </is>
      </c>
      <c r="C21" t="inlineStr">
        <is>
          <t>merlo-2</t>
        </is>
      </c>
      <c r="D21" t="inlineStr">
        <is>
          <t>Мерло — Литавщук. Litavshchuk vineyards &amp; winery — Красное сухое</t>
        </is>
      </c>
      <c r="F21" t="inlineStr">
        <is>
          <t>merlo-2</t>
        </is>
      </c>
      <c r="G21" t="inlineStr">
        <is>
          <t>vinodelnya-begildeeva-merlo-krasnoe-suhoe-14</t>
        </is>
      </c>
      <c r="H21" t="inlineStr">
        <is>
          <t>vinodelnya-begildeeva-kaberne-sovinon-merlo-krasnoe-suhoe-14</t>
        </is>
      </c>
      <c r="I21" t="inlineStr">
        <is>
          <t>merlo</t>
        </is>
      </c>
      <c r="J21" t="inlineStr">
        <is>
          <t>vinodelnya-batrak-merlo-rozovoe-suhoe-13</t>
        </is>
      </c>
      <c r="K21">
        <f>IF(C21="","",IFERROR(MATCH(C21,F21:J21,0),"нет"))</f>
        <v/>
      </c>
      <c r="L21">
        <f>IF(C21="","",IF(K21=1,1,0))</f>
        <v/>
      </c>
      <c r="M21">
        <f>IF(C21="","",IF(ISNUMBER(K21),1,0))</f>
        <v/>
      </c>
      <c r="N21" t="inlineStr">
        <is>
          <t>Мерло — Литавщук. Litavshchuk vineyards &amp; winery — Красное сухое</t>
        </is>
      </c>
      <c r="O21" t="inlineStr">
        <is>
          <t>Мерло — Винодельня Бегильдеева — Красное сухое</t>
        </is>
      </c>
      <c r="P21" t="inlineStr">
        <is>
          <t>Каберне Совиньон – Мерло — Винодельня Бегильдеева — Красное сухое</t>
        </is>
      </c>
      <c r="Q21" t="inlineStr">
        <is>
          <t>Мерло — Галицкий и Галицкий — Красное сухое</t>
        </is>
      </c>
      <c r="R21" t="inlineStr">
        <is>
          <t>Мерло — Винодельня Батрак — Розовое сухое</t>
        </is>
      </c>
      <c r="S21" s="3" t="n">
        <v>0.9999992847442627</v>
      </c>
      <c r="T21" s="3" t="n">
        <v>3.466325040335505e-07</v>
      </c>
      <c r="U21" t="n">
        <v>942.6</v>
      </c>
    </row>
    <row r="22">
      <c r="A22" t="inlineStr">
        <is>
          <t>92.21_19-08-2026_18-57-31.webp</t>
        </is>
      </c>
      <c r="B22" t="inlineStr">
        <is>
          <t>уверенно</t>
        </is>
      </c>
      <c r="C22" t="inlineStr">
        <is>
          <t>belaya-lvicza</t>
        </is>
      </c>
      <c r="D22" t="inlineStr">
        <is>
          <t>Белая Львица белое полусладкое — АРАТТИ — Белое полусладкое</t>
        </is>
      </c>
      <c r="F22" t="inlineStr">
        <is>
          <t>belaya-lvicza</t>
        </is>
      </c>
      <c r="G22" t="inlineStr">
        <is>
          <t>chernaya-lvicza-polusladkoe-krasnoe</t>
        </is>
      </c>
      <c r="H22" t="inlineStr">
        <is>
          <t>aratti-muskat-belyj-suhoe</t>
        </is>
      </c>
      <c r="I22" t="inlineStr">
        <is>
          <t>rozovaya-pantera</t>
        </is>
      </c>
      <c r="J22" t="inlineStr">
        <is>
          <t>aratti-muskat-belyj-polusuhoe</t>
        </is>
      </c>
      <c r="K22">
        <f>IF(C22="","",IFERROR(MATCH(C22,F22:J22,0),"нет"))</f>
        <v/>
      </c>
      <c r="L22">
        <f>IF(C22="","",IF(K22=1,1,0))</f>
        <v/>
      </c>
      <c r="M22">
        <f>IF(C22="","",IF(ISNUMBER(K22),1,0))</f>
        <v/>
      </c>
      <c r="N22" t="inlineStr">
        <is>
          <t>Белая Львица белое полусладкое — АРАТТИ — Белое полусладкое</t>
        </is>
      </c>
      <c r="O22" t="inlineStr">
        <is>
          <t>Черная Львица полусладкое красное — АРАТТИ — Красное полусладкое</t>
        </is>
      </c>
      <c r="P22" t="inlineStr">
        <is>
          <t>АРАТТИ Мускат белый сухое — АРАТТИ — Белое сухое</t>
        </is>
      </c>
      <c r="Q22" t="inlineStr">
        <is>
          <t>Розовая Пантера полусладкое розовое — АРАТТИ — Розовое полусладкое</t>
        </is>
      </c>
      <c r="R22" t="inlineStr">
        <is>
          <t>АРАТТИ Мускат белый полусухое — АРАТТИ — Белое полусухое</t>
        </is>
      </c>
      <c r="S22" s="3" t="n">
        <v>0.9999998807907104</v>
      </c>
      <c r="T22" s="3" t="n">
        <v>8.764247638737288e-08</v>
      </c>
      <c r="U22" t="n">
        <v>626.3</v>
      </c>
    </row>
    <row r="23">
      <c r="A23" t="inlineStr">
        <is>
          <t>92.6_07-09-2026_11-04-40.webp</t>
        </is>
      </c>
      <c r="B23" t="inlineStr">
        <is>
          <t>уверенно</t>
        </is>
      </c>
      <c r="C23" t="inlineStr">
        <is>
          <t>aratti-kaberne-sovinon-2020-krasnoe-suhoe</t>
        </is>
      </c>
      <c r="D23" t="inlineStr">
        <is>
          <t>АРАТТИ Каберне Совиньон 2020 красное сухое — АРАТТИ — Красное сухое</t>
        </is>
      </c>
      <c r="F23" t="inlineStr">
        <is>
          <t>aratti-kaberne-sovinon-2020-krasnoe-suhoe</t>
        </is>
      </c>
      <c r="G23" t="inlineStr">
        <is>
          <t>aratti-kaberne-sovinon-2021-krasnoe-suhoe</t>
        </is>
      </c>
      <c r="H23" t="inlineStr">
        <is>
          <t>artvin-kaberne-sovinon-grand-rezerv-krasnoe-suhoe-13</t>
        </is>
      </c>
      <c r="I23" t="inlineStr">
        <is>
          <t>vinodelnya-begildeeva-kaberne-sovinon-krasnoe-suhoe-14</t>
        </is>
      </c>
      <c r="J23" t="inlineStr">
        <is>
          <t>aratti-sovinon-blan-beloe-polusuhoe</t>
        </is>
      </c>
      <c r="K23">
        <f>IF(C23="","",IFERROR(MATCH(C23,F23:J23,0),"нет"))</f>
        <v/>
      </c>
      <c r="L23">
        <f>IF(C23="","",IF(K23=1,1,0))</f>
        <v/>
      </c>
      <c r="M23">
        <f>IF(C23="","",IF(ISNUMBER(K23),1,0))</f>
        <v/>
      </c>
      <c r="N23" t="inlineStr">
        <is>
          <t>АРАТТИ Каберне Совиньон 2020 красное сухое — АРАТТИ — Красное сухое</t>
        </is>
      </c>
      <c r="O23" t="inlineStr">
        <is>
          <t>АРАТТИ Каберне Совиньон 2021 красное сухое — АРАТТИ — Красное сухое</t>
        </is>
      </c>
      <c r="P23" t="inlineStr">
        <is>
          <t>Каберне Совиньон Гранд Резерв — Артвин — Красное сухое</t>
        </is>
      </c>
      <c r="Q23" t="inlineStr">
        <is>
          <t>Каберне Совиньон — Винодельня Бегильдеева — Красное сухое</t>
        </is>
      </c>
      <c r="R23" t="inlineStr">
        <is>
          <t>АРАТТИ Совиньон блан белое полусухое — АРАТТИ — Белое полусухое</t>
        </is>
      </c>
      <c r="S23" s="3" t="n">
        <v>0.9999997615814209</v>
      </c>
      <c r="T23" s="3" t="n">
        <v>8.764246217651817e-08</v>
      </c>
      <c r="U23" t="n">
        <v>620.3</v>
      </c>
    </row>
    <row r="24">
      <c r="A24" t="inlineStr">
        <is>
          <t>92.94_21-08-2026_19-37-08.webp</t>
        </is>
      </c>
      <c r="B24" t="inlineStr">
        <is>
          <t>не уверен</t>
        </is>
      </c>
      <c r="C24" t="inlineStr">
        <is>
          <t>denisov-winery-sovinon-blan-beloe-suhoe-115</t>
        </is>
      </c>
      <c r="D24" t="inlineStr">
        <is>
          <t>Совиньон Блан — Denisov Winery — Белое сухое</t>
        </is>
      </c>
      <c r="E24" t="inlineStr">
        <is>
          <t>есть такое, но этикетка черная, а не белая</t>
        </is>
      </c>
      <c r="F24" t="inlineStr">
        <is>
          <t>denisov-winery-sovinon-blan-beloe-suhoe-115</t>
        </is>
      </c>
      <c r="G24" t="inlineStr">
        <is>
          <t>dubinin-winery-sovinon-blan-beloe-suhoe-12</t>
        </is>
      </c>
      <c r="H24" t="inlineStr">
        <is>
          <t>zhemchuzhnaya-9-sovinon-blan-aligote</t>
        </is>
      </c>
      <c r="I24" t="inlineStr">
        <is>
          <t>sovinon-blan</t>
        </is>
      </c>
      <c r="J24" t="inlineStr">
        <is>
          <t>blagolyubov-sovinon-blan-beloe-suhoe-125</t>
        </is>
      </c>
      <c r="K24">
        <f>IF(C24="","",IFERROR(MATCH(C24,F24:J24,0),"нет"))</f>
        <v/>
      </c>
      <c r="L24">
        <f>IF(C24="","",IF(K24=1,1,0))</f>
        <v/>
      </c>
      <c r="M24">
        <f>IF(C24="","",IF(ISNUMBER(K24),1,0))</f>
        <v/>
      </c>
      <c r="N24" t="inlineStr">
        <is>
          <t>Совиньон Блан — Denisov Winery — Белое сухое</t>
        </is>
      </c>
      <c r="O24" t="inlineStr">
        <is>
          <t>Совиньон Блан — Dubinin Winery — Белое сухое</t>
        </is>
      </c>
      <c r="P24" t="inlineStr">
        <is>
          <t>Жемчужная 9 Совиньон блан, Алиготе — АРАТТИ — Белое сухое</t>
        </is>
      </c>
      <c r="Q24" t="inlineStr">
        <is>
          <t>Совиньон Блан — Литавщук. Litavshchuk vineyards &amp; winery — Белое полусладкое</t>
        </is>
      </c>
      <c r="R24" t="inlineStr">
        <is>
          <t>Совиньон Блан — Благолюбов — Белое сухое</t>
        </is>
      </c>
      <c r="S24" s="3" t="n">
        <v>0.9999996423721313</v>
      </c>
      <c r="T24" s="3" t="n">
        <v>2.382368791131739e-07</v>
      </c>
      <c r="U24" t="n">
        <v>894</v>
      </c>
    </row>
    <row r="25">
      <c r="A25" t="inlineStr">
        <is>
          <t>92.96_19-08-2026_21-07-12.webp</t>
        </is>
      </c>
      <c r="B25" t="inlineStr">
        <is>
          <t>уверенно</t>
        </is>
      </c>
      <c r="C25" t="inlineStr">
        <is>
          <t>aratti-kaberne-sovinon-2020-krasnoe-suhoe</t>
        </is>
      </c>
      <c r="D25" t="inlineStr">
        <is>
          <t>АРАТТИ Каберне Совиньон 2020 красное сухое — АРАТТИ — Красное сухое</t>
        </is>
      </c>
      <c r="F25" t="inlineStr">
        <is>
          <t>aratti-kaberne-sovinon-2020-krasnoe-suhoe</t>
        </is>
      </c>
      <c r="G25" t="inlineStr">
        <is>
          <t>aratti-kaberne-sovinon-2021-krasnoe-suhoe</t>
        </is>
      </c>
      <c r="H25" t="inlineStr">
        <is>
          <t>artvin-kaberne-sovinon-grand-rezerv-krasnoe-suhoe-13</t>
        </is>
      </c>
      <c r="I25" t="inlineStr">
        <is>
          <t>vinodelnya-begildeeva-kaberne-sovinon-krasnoe-suhoe-14</t>
        </is>
      </c>
      <c r="J25" t="inlineStr">
        <is>
          <t>aratti-vremena-goda-saperavi-leto</t>
        </is>
      </c>
      <c r="K25">
        <f>IF(C25="","",IFERROR(MATCH(C25,F25:J25,0),"нет"))</f>
        <v/>
      </c>
      <c r="L25">
        <f>IF(C25="","",IF(K25=1,1,0))</f>
        <v/>
      </c>
      <c r="M25">
        <f>IF(C25="","",IF(ISNUMBER(K25),1,0))</f>
        <v/>
      </c>
      <c r="N25" t="inlineStr">
        <is>
          <t>АРАТТИ Каберне Совиньон 2020 красное сухое — АРАТТИ — Красное сухое</t>
        </is>
      </c>
      <c r="O25" t="inlineStr">
        <is>
          <t>АРАТТИ Каберне Совиньон 2021 красное сухое — АРАТТИ — Красное сухое</t>
        </is>
      </c>
      <c r="P25" t="inlineStr">
        <is>
          <t>Каберне Совиньон Гранд Резерв — Артвин — Красное сухое</t>
        </is>
      </c>
      <c r="Q25" t="inlineStr">
        <is>
          <t>Каберне Совиньон — Винодельня Бегильдеева — Красное сухое</t>
        </is>
      </c>
      <c r="R25" t="inlineStr">
        <is>
          <t>АРАТТИ Времена Года Саперави Лето — АРАТТИ — Красное сухое</t>
        </is>
      </c>
      <c r="S25" s="3" t="n">
        <v>0.9999997615814209</v>
      </c>
      <c r="T25" s="3" t="n">
        <v>1.125351474229319e-07</v>
      </c>
      <c r="U25" t="n">
        <v>608.6</v>
      </c>
    </row>
    <row r="26">
      <c r="A26" t="inlineStr">
        <is>
          <t>92.99_02-09-2026_04-20-19.webp</t>
        </is>
      </c>
      <c r="B26" t="inlineStr">
        <is>
          <t>нет в каталоге</t>
        </is>
      </c>
      <c r="F26" t="inlineStr">
        <is>
          <t>mont-blanc-blanc-de-blancs</t>
        </is>
      </c>
      <c r="G26" t="inlineStr">
        <is>
          <t>vinodelnya-myshako-rose-de-noirs-pino-nuar-rozovoe-bryut-123</t>
        </is>
      </c>
      <c r="H26" t="inlineStr">
        <is>
          <t>kuban-vino-vysokiy-bereg-grafit-roze-kaberne-sovinon-rozovoe-suhoe-12</t>
        </is>
      </c>
      <c r="I26" t="inlineStr">
        <is>
          <t>rozovaya-pantera</t>
        </is>
      </c>
      <c r="J26" t="inlineStr">
        <is>
          <t>usadba-divnomorskoe-rose-vione-rozovoe-suhoe-125</t>
        </is>
      </c>
      <c r="K26">
        <f>IF(C26="","",IFERROR(MATCH(C26,F26:J26,0),"нет"))</f>
        <v/>
      </c>
      <c r="L26">
        <f>IF(C26="","",IF(K26=1,1,0))</f>
        <v/>
      </c>
      <c r="M26">
        <f>IF(C26="","",IF(ISNUMBER(K26),1,0))</f>
        <v/>
      </c>
      <c r="N26" t="inlineStr">
        <is>
          <t>Mont Blanc, Blanc de Blancs — Шато АЛВИСА — Белое брют</t>
        </is>
      </c>
      <c r="O26" t="inlineStr">
        <is>
          <t>Rose De Noirs — Мысхако — Розовое брют</t>
        </is>
      </c>
      <c r="P26" t="inlineStr">
        <is>
          <t>Высокий Берег Графит Розе — Кубань-Вино — Розовое сухое</t>
        </is>
      </c>
      <c r="Q26" t="inlineStr">
        <is>
          <t>Розовая Пантера полусладкое розовое — АРАТТИ — Розовое полусладкое</t>
        </is>
      </c>
      <c r="R26" t="inlineStr">
        <is>
          <t>Rose — Усадьба Дивноморское — Розовое сухое</t>
        </is>
      </c>
      <c r="S26" s="3" t="n">
        <v>0.9992423057556152</v>
      </c>
      <c r="T26" s="3" t="n">
        <v>0.0007096362533047795</v>
      </c>
      <c r="U26" t="n">
        <v>818.8</v>
      </c>
    </row>
    <row r="27">
      <c r="A27" t="inlineStr">
        <is>
          <t>93.31_05-09-2026_13-39-37.webp</t>
        </is>
      </c>
      <c r="B27" t="inlineStr">
        <is>
          <t>уверенно</t>
        </is>
      </c>
      <c r="C27" t="inlineStr">
        <is>
          <t>golubitskoe-estate-noble-selection-red-blend-kaberne-sovinon-krasnoe-suhoe-136</t>
        </is>
      </c>
      <c r="D27" t="inlineStr">
        <is>
          <t>Noble Selection Red Blend — Golubitskoe Estate — Красное сухое</t>
        </is>
      </c>
      <c r="F27" t="inlineStr">
        <is>
          <t>golubitskoe-estate-noble-selection-red-blend-kaberne-sovinon-krasnoe-suhoe-136</t>
        </is>
      </c>
      <c r="G27" t="inlineStr">
        <is>
          <t>golubitskoe-estate-kaberne-sovinon-noble-selection-krasnoe-suhoe-133</t>
        </is>
      </c>
      <c r="H27" t="inlineStr">
        <is>
          <t>golubitskoe-estate-kaberne-sovinon-rezerv-krasnoe-suhoe-125</t>
        </is>
      </c>
      <c r="I27" t="inlineStr">
        <is>
          <t>golubitskoe-estate-noble-selection-white-blend-shardone-beloe-suhoe-135</t>
        </is>
      </c>
      <c r="J27" t="inlineStr">
        <is>
          <t>pomeste-golubitskoe-kaberne-sovinon-rezerv-krasnoe-suhoe-143</t>
        </is>
      </c>
      <c r="K27">
        <f>IF(C27="","",IFERROR(MATCH(C27,F27:J27,0),"нет"))</f>
        <v/>
      </c>
      <c r="L27">
        <f>IF(C27="","",IF(K27=1,1,0))</f>
        <v/>
      </c>
      <c r="M27">
        <f>IF(C27="","",IF(ISNUMBER(K27),1,0))</f>
        <v/>
      </c>
      <c r="N27" t="inlineStr">
        <is>
          <t>Noble Selection Red Blend — Golubitskoe Estate — Красное сухое</t>
        </is>
      </c>
      <c r="O27" t="inlineStr">
        <is>
          <t>Каберне Совиньон Noble Selection — Golubitskoe Estate — Красное сухое</t>
        </is>
      </c>
      <c r="P27" t="inlineStr">
        <is>
          <t>Каберне Совиньон Резерв — Golubitskoe Estate — Красное сухое</t>
        </is>
      </c>
      <c r="Q27" t="inlineStr">
        <is>
          <t>Noble Selection White Blend — Golubitskoe Estate — Белое сухое</t>
        </is>
      </c>
      <c r="R27" t="inlineStr">
        <is>
          <t>Каберне Совиньон Резерв — Golubitskoe Estate — Красное сухое</t>
        </is>
      </c>
      <c r="S27" s="3" t="n">
        <v>0.9999985694885254</v>
      </c>
      <c r="T27" s="3" t="n">
        <v>4.450845949577342e-07</v>
      </c>
      <c r="U27" t="n">
        <v>765.1</v>
      </c>
    </row>
    <row r="28">
      <c r="A28" t="inlineStr">
        <is>
          <t>93.43_05-09-2026_13-34-45.webp</t>
        </is>
      </c>
      <c r="B28" t="inlineStr">
        <is>
          <t>уверенно</t>
        </is>
      </c>
      <c r="C28" t="inlineStr">
        <is>
          <t>denisov_pet_nat_rubin</t>
        </is>
      </c>
      <c r="D28" t="inlineStr">
        <is>
          <t>Пет-Нат Рубин — Denisov Winery — Розовое экстра брют</t>
        </is>
      </c>
      <c r="F28" t="inlineStr">
        <is>
          <t>denisov_pet_nat_rubin</t>
        </is>
      </c>
      <c r="G28" t="inlineStr">
        <is>
          <t>denisov-winery-petnat-tsitron-risling-tsitronnyy-magaracha-beloe-ekstra-bryut-102</t>
        </is>
      </c>
      <c r="H28" t="inlineStr">
        <is>
          <t>denisov-winery-petnat-risling-beloe-ekstra-bryut-10</t>
        </is>
      </c>
      <c r="I28" t="inlineStr">
        <is>
          <t>fioletovyj-rannij-petnat</t>
        </is>
      </c>
      <c r="J28" t="inlineStr">
        <is>
          <t>denisov-winery-petnat-rkatsiteli-beloe-ekstra-bryut-107</t>
        </is>
      </c>
      <c r="K28">
        <f>IF(C28="","",IFERROR(MATCH(C28,F28:J28,0),"нет"))</f>
        <v/>
      </c>
      <c r="L28">
        <f>IF(C28="","",IF(K28=1,1,0))</f>
        <v/>
      </c>
      <c r="M28">
        <f>IF(C28="","",IF(ISNUMBER(K28),1,0))</f>
        <v/>
      </c>
      <c r="N28" t="inlineStr">
        <is>
          <t>Пет-Нат Рубин — Denisov Winery — Розовое экстра брют</t>
        </is>
      </c>
      <c r="O28" t="inlineStr">
        <is>
          <t>Петнат Цитрон - Рислинг — Denisov Winery — Белое экстра брют</t>
        </is>
      </c>
      <c r="P28" t="inlineStr">
        <is>
          <t>Петнат Рислинг — Denisov Winery — Белое экстра брют</t>
        </is>
      </c>
      <c r="Q28" t="inlineStr">
        <is>
          <t>Фиолетовый Ранний петнат — Гусевъ — Белое экстра брют</t>
        </is>
      </c>
      <c r="R28" t="inlineStr">
        <is>
          <t>Петнат Ркацители — Denisov Winery — Белое экстра брют</t>
        </is>
      </c>
      <c r="S28" s="3" t="n">
        <v>1</v>
      </c>
      <c r="T28" s="3" t="n">
        <v>1.52299808320322e-08</v>
      </c>
      <c r="U28" t="n">
        <v>687.2</v>
      </c>
    </row>
    <row r="29">
      <c r="A29" t="inlineStr">
        <is>
          <t>93.68_19-08-2026_20-44-28.webp</t>
        </is>
      </c>
      <c r="B29" t="inlineStr">
        <is>
          <t>уверенно</t>
        </is>
      </c>
      <c r="C29" t="inlineStr">
        <is>
          <t>zakat-denisov-vajneri</t>
        </is>
      </c>
      <c r="D29" t="inlineStr">
        <is>
          <t>Закат. Денисов Вайнери — Denisov Winery — Розовое сухое</t>
        </is>
      </c>
      <c r="F29" t="inlineStr">
        <is>
          <t>zakat-denisov-vajneri</t>
        </is>
      </c>
      <c r="G29" t="inlineStr">
        <is>
          <t>zhemchuzhnaya-9-pino-nuar-muskat-rozovyj</t>
        </is>
      </c>
      <c r="H29" t="inlineStr">
        <is>
          <t>vinodelnya-78-muskat-polusladkoe-muskat-ottonel-beloe-115</t>
        </is>
      </c>
      <c r="I29" t="inlineStr">
        <is>
          <t>rozovaya-pantera</t>
        </is>
      </c>
      <c r="J29" t="inlineStr">
        <is>
          <t>zhemchuzhnaya-9-pino-nuar-muskat-rozovyj-1</t>
        </is>
      </c>
      <c r="K29">
        <f>IF(C29="","",IFERROR(MATCH(C29,F29:J29,0),"нет"))</f>
        <v/>
      </c>
      <c r="L29">
        <f>IF(C29="","",IF(K29=1,1,0))</f>
        <v/>
      </c>
      <c r="M29">
        <f>IF(C29="","",IF(ISNUMBER(K29),1,0))</f>
        <v/>
      </c>
      <c r="N29" t="inlineStr">
        <is>
          <t>Закат. Денисов Вайнери — Denisov Winery — Розовое сухое</t>
        </is>
      </c>
      <c r="O29" t="inlineStr">
        <is>
          <t>Жемчужная 9 Пино Нуар, Мускат Розовый — АРАТТИ — Розовое сухое</t>
        </is>
      </c>
      <c r="P29" t="inlineStr">
        <is>
          <t>Мускат полусладкое — Винодельня 78 — Белое полусладкое</t>
        </is>
      </c>
      <c r="Q29" t="inlineStr">
        <is>
          <t>Розовая Пантера полусладкое розовое — АРАТТИ — Розовое полусладкое</t>
        </is>
      </c>
      <c r="R29" t="inlineStr">
        <is>
          <t>Жемчужная 9 Пино Нуар, Мускат розовый — АРАТТИ — Розовое полусухое</t>
        </is>
      </c>
      <c r="S29" s="3" t="n">
        <v>0.9999977350234985</v>
      </c>
      <c r="T29" s="3" t="n">
        <v>1.553496758788242e-06</v>
      </c>
      <c r="U29" t="n">
        <v>619.2</v>
      </c>
    </row>
    <row r="30">
      <c r="A30" t="inlineStr">
        <is>
          <t>93.84_02-09-2026_17-13-04.webp</t>
        </is>
      </c>
      <c r="B30" t="inlineStr">
        <is>
          <t>уверенно</t>
        </is>
      </c>
      <c r="C30" t="inlineStr">
        <is>
          <t>zakat-denisov-vajneri</t>
        </is>
      </c>
      <c r="D30" t="inlineStr">
        <is>
          <t>Закат. Денисов Вайнери — Denisov Winery — Розовое сухое</t>
        </is>
      </c>
      <c r="F30" t="inlineStr">
        <is>
          <t>zakat-denisov-vajneri</t>
        </is>
      </c>
      <c r="G30" t="inlineStr">
        <is>
          <t>vinodelnya-78-muskat-polusladkoe-muskat-ottonel-beloe-115</t>
        </is>
      </c>
      <c r="H30" t="inlineStr">
        <is>
          <t>zhemchuzhnaya-9-pino-nuar-muskat-rozovyj</t>
        </is>
      </c>
      <c r="I30" t="inlineStr">
        <is>
          <t>rozovaya-pantera</t>
        </is>
      </c>
      <c r="J30" t="inlineStr">
        <is>
          <t>vinodelnya-vedernikov-tsimlyanskiy-chernyy-rozovyy-rozovoe-suhoe-125</t>
        </is>
      </c>
      <c r="K30">
        <f>IF(C30="","",IFERROR(MATCH(C30,F30:J30,0),"нет"))</f>
        <v/>
      </c>
      <c r="L30">
        <f>IF(C30="","",IF(K30=1,1,0))</f>
        <v/>
      </c>
      <c r="M30">
        <f>IF(C30="","",IF(ISNUMBER(K30),1,0))</f>
        <v/>
      </c>
      <c r="N30" t="inlineStr">
        <is>
          <t>Закат. Денисов Вайнери — Denisov Winery — Розовое сухое</t>
        </is>
      </c>
      <c r="O30" t="inlineStr">
        <is>
          <t>Мускат полусладкое — Винодельня 78 — Белое полусладкое</t>
        </is>
      </c>
      <c r="P30" t="inlineStr">
        <is>
          <t>Жемчужная 9 Пино Нуар, Мускат Розовый — АРАТТИ — Розовое сухое</t>
        </is>
      </c>
      <c r="Q30" t="inlineStr">
        <is>
          <t>Розовая Пантера полусладкое розовое — АРАТТИ — Розовое полусладкое</t>
        </is>
      </c>
      <c r="R30" t="inlineStr">
        <is>
          <t>Цимлянский Черный розовый — Ведерниковъ — Розовое сухое</t>
        </is>
      </c>
      <c r="S30" s="3" t="n">
        <v>0.9999998807907104</v>
      </c>
      <c r="T30" s="3" t="n">
        <v>7.734421103577915e-08</v>
      </c>
      <c r="U30" t="n">
        <v>559.4</v>
      </c>
    </row>
    <row r="31">
      <c r="A31" t="inlineStr">
        <is>
          <t>93.95_05-09-2026_15-29-36.webp</t>
        </is>
      </c>
      <c r="B31" t="inlineStr">
        <is>
          <t>нет в каталоге</t>
        </is>
      </c>
      <c r="F31" t="inlineStr">
        <is>
          <t>novyy-svet-dom-shampanskih-vin-igristoe-vino-vyderzhannoe-polusladkoe-rozovoe-novyy-svet-pino-fran-135</t>
        </is>
      </c>
      <c r="G31" t="inlineStr">
        <is>
          <t>valeriy-zaharin-aligote-burlyuk-beloe-bryut-115</t>
        </is>
      </c>
      <c r="H31" t="inlineStr">
        <is>
          <t>abrau-dyurso-imperial-kyuve-pino-nuar-rozovoe-bryut-125</t>
        </is>
      </c>
      <c r="I31" t="inlineStr">
        <is>
          <t>rozovoe-bryut-1</t>
        </is>
      </c>
      <c r="J31" t="inlineStr">
        <is>
          <t>valeriy-zaharin-aligote-avtorskoe-valeriy-zaharin-beloe-bryut-115</t>
        </is>
      </c>
      <c r="K31">
        <f>IF(C31="","",IFERROR(MATCH(C31,F31:J31,0),"нет"))</f>
        <v/>
      </c>
      <c r="L31">
        <f>IF(C31="","",IF(K31=1,1,0))</f>
        <v/>
      </c>
      <c r="M31">
        <f>IF(C31="","",IF(ISNUMBER(K31),1,0))</f>
        <v/>
      </c>
      <c r="N31" t="inlineStr">
        <is>
          <t>Игристое вино выдержанное полусладкое розовое «Новый Свет. Пино Фран» — Новый Свет. Дом шампанских вин — Розовое полусладкое</t>
        </is>
      </c>
      <c r="O31" t="inlineStr">
        <is>
          <t>Алиготе. Бурлюк — Валерий Захарьин — Белое брют</t>
        </is>
      </c>
      <c r="P31" t="inlineStr">
        <is>
          <t>Империал Кюве — Абрау-Дюрсо — Розовое брют</t>
        </is>
      </c>
      <c r="Q31" t="inlineStr">
        <is>
          <t>Розовое брют — Золотая Балка — Розовое брют</t>
        </is>
      </c>
      <c r="R31" t="inlineStr">
        <is>
          <t>Алиготе. Авторское. Валерий Захарьин — Валерий Захарьин — Белое брют</t>
        </is>
      </c>
      <c r="S31" s="3" t="n">
        <v>0.04139538481831551</v>
      </c>
      <c r="T31" s="3" t="n">
        <v>0.942154586315155</v>
      </c>
      <c r="U31" t="n">
        <v>806</v>
      </c>
    </row>
    <row r="32">
      <c r="A32" t="inlineStr">
        <is>
          <t>93.97_28-08-2026_16-02-48.webp</t>
        </is>
      </c>
      <c r="B32" t="inlineStr">
        <is>
          <t>нет в каталоге</t>
        </is>
      </c>
      <c r="F32" t="inlineStr">
        <is>
          <t>golubitskoe-estate-chardonnay</t>
        </is>
      </c>
      <c r="G32" t="inlineStr">
        <is>
          <t>golubitskoe-estate-shardone-rezerv-beloe-suhoe-135</t>
        </is>
      </c>
      <c r="H32" t="inlineStr">
        <is>
          <t>golubitskoe-estate-sovinon-blan-beloe-suhoe-11</t>
        </is>
      </c>
      <c r="I32" t="inlineStr">
        <is>
          <t>golubitskoe-estate-shardone-noble-selection-barrel-touch-beloe-suhoe-135</t>
        </is>
      </c>
      <c r="J32" t="inlineStr">
        <is>
          <t>pomeste-golubitskoe-shardone-rezerv-beloe-suhoe-132</t>
        </is>
      </c>
      <c r="K32">
        <f>IF(C32="","",IFERROR(MATCH(C32,F32:J32,0),"нет"))</f>
        <v/>
      </c>
      <c r="L32">
        <f>IF(C32="","",IF(K32=1,1,0))</f>
        <v/>
      </c>
      <c r="M32">
        <f>IF(C32="","",IF(ISNUMBER(K32),1,0))</f>
        <v/>
      </c>
      <c r="N32" t="inlineStr">
        <is>
          <t>Golubitskoe Estate Chardonnay — Поместье Голубицкое — Белое сухое</t>
        </is>
      </c>
      <c r="O32" t="inlineStr">
        <is>
          <t>Шардоне Резерв — Golubitskoe Estate — Белое сухое</t>
        </is>
      </c>
      <c r="P32" t="inlineStr">
        <is>
          <t>Совиньон Блан — Golubitskoe Estate — Белое сухое</t>
        </is>
      </c>
      <c r="Q32" t="inlineStr">
        <is>
          <t>Шардоне Noble Selection Barrel Touch — Golubitskoe Estate — Белое сухое</t>
        </is>
      </c>
      <c r="R32" t="inlineStr">
        <is>
          <t>Шардоне Резерв — Golubitskoe Estate — Белое сухое</t>
        </is>
      </c>
      <c r="S32" s="3" t="n">
        <v>0.9999991655349731</v>
      </c>
      <c r="T32" s="3" t="n">
        <v>2.102432148376465e-07</v>
      </c>
      <c r="U32" t="n">
        <v>803.7</v>
      </c>
    </row>
    <row r="33">
      <c r="A33" t="inlineStr">
        <is>
          <t>94.02_24-08-2026_17-46-57.webp</t>
        </is>
      </c>
      <c r="B33" t="inlineStr">
        <is>
          <t>уверенно</t>
        </is>
      </c>
      <c r="C33" t="inlineStr">
        <is>
          <t>rubin-golodrigi</t>
        </is>
      </c>
      <c r="D33" t="inlineStr">
        <is>
          <t>Рубин Голодриги  — Табия — Красное сухое</t>
        </is>
      </c>
      <c r="F33" t="inlineStr">
        <is>
          <t>rubin-golodrigi</t>
        </is>
      </c>
      <c r="G33" t="inlineStr">
        <is>
          <t>kaberne-sovinon-2</t>
        </is>
      </c>
      <c r="H33" t="inlineStr">
        <is>
          <t>bukovinka</t>
        </is>
      </c>
      <c r="I33" t="inlineStr">
        <is>
          <t>oleg</t>
        </is>
      </c>
      <c r="J33" t="inlineStr">
        <is>
          <t>roze-2</t>
        </is>
      </c>
      <c r="K33">
        <f>IF(C33="","",IFERROR(MATCH(C33,F33:J33,0),"нет"))</f>
        <v/>
      </c>
      <c r="L33">
        <f>IF(C33="","",IF(K33=1,1,0))</f>
        <v/>
      </c>
      <c r="M33">
        <f>IF(C33="","",IF(ISNUMBER(K33),1,0))</f>
        <v/>
      </c>
      <c r="N33" t="inlineStr">
        <is>
          <t>Рубин Голодриги  — Табия — Красное сухое</t>
        </is>
      </c>
      <c r="O33" t="inlineStr">
        <is>
          <t>Каберне Совиньон — Табия — Красное сухое</t>
        </is>
      </c>
      <c r="P33" t="inlineStr">
        <is>
          <t>Буковинка — Табия — Белое полусухое</t>
        </is>
      </c>
      <c r="Q33" t="inlineStr">
        <is>
          <t>Олег — Табия — Белое сухое</t>
        </is>
      </c>
      <c r="R33" t="inlineStr">
        <is>
          <t>Розе — Табия — Розовое сухое</t>
        </is>
      </c>
      <c r="S33" s="3" t="n">
        <v>1</v>
      </c>
      <c r="T33" s="3" t="n">
        <v>4.139937814784389e-08</v>
      </c>
      <c r="U33" t="n">
        <v>606.2</v>
      </c>
    </row>
    <row r="34">
      <c r="A34" t="inlineStr">
        <is>
          <t>94.43_05-09-2026_15-29-25.webp</t>
        </is>
      </c>
      <c r="B34" t="inlineStr">
        <is>
          <t>нет в каталоге</t>
        </is>
      </c>
      <c r="F34" t="inlineStr">
        <is>
          <t>rozovoe-bryut-1</t>
        </is>
      </c>
      <c r="G34" t="inlineStr">
        <is>
          <t>novyy-svet-dom-shampanskih-vin-igristoe-vino-vyderzhannoe-polusladkoe-rozovoe-novyy-svet-pino-fran-135</t>
        </is>
      </c>
      <c r="H34" t="inlineStr">
        <is>
          <t>balaklava-bryut-rezerv</t>
        </is>
      </c>
      <c r="I34" t="inlineStr">
        <is>
          <t>vinodelnya-78-muskat-polusladkoe-muskat-ottonel-beloe-115</t>
        </is>
      </c>
      <c r="J34" t="inlineStr">
        <is>
          <t>valeriy-zaharin-aligote-avtorskoe-valeriy-zaharin-beloe-bryut-115</t>
        </is>
      </c>
      <c r="K34">
        <f>IF(C34="","",IFERROR(MATCH(C34,F34:J34,0),"нет"))</f>
        <v/>
      </c>
      <c r="L34">
        <f>IF(C34="","",IF(K34=1,1,0))</f>
        <v/>
      </c>
      <c r="M34">
        <f>IF(C34="","",IF(ISNUMBER(K34),1,0))</f>
        <v/>
      </c>
      <c r="N34" t="inlineStr">
        <is>
          <t>Розовое брют — Золотая Балка — Розовое брют</t>
        </is>
      </c>
      <c r="O34" t="inlineStr">
        <is>
          <t>Игристое вино выдержанное полусладкое розовое «Новый Свет. Пино Фран» — Новый Свет. Дом шампанских вин — Розовое полусладкое</t>
        </is>
      </c>
      <c r="P34" t="inlineStr">
        <is>
          <t>Балаклава Брют Резерв — Золотая Балка — Белое брют</t>
        </is>
      </c>
      <c r="Q34" t="inlineStr">
        <is>
          <t>Мускат полусладкое — Винодельня 78 — Белое полусладкое</t>
        </is>
      </c>
      <c r="R34" t="inlineStr">
        <is>
          <t>Алиготе. Авторское. Валерий Захарьин — Валерий Захарьин — Белое брют</t>
        </is>
      </c>
      <c r="S34" s="3" t="n">
        <v>0.6717734932899475</v>
      </c>
      <c r="T34" s="3" t="n">
        <v>0.3173233270645142</v>
      </c>
      <c r="U34" t="n">
        <v>924.4</v>
      </c>
    </row>
    <row r="35">
      <c r="A35" t="inlineStr">
        <is>
          <t>94.55_02-09-2026_16-53-08.webp</t>
        </is>
      </c>
      <c r="B35" t="inlineStr">
        <is>
          <t>уверенно</t>
        </is>
      </c>
      <c r="C35" t="inlineStr">
        <is>
          <t>denisov_pazori_risling</t>
        </is>
      </c>
      <c r="D35" t="inlineStr">
        <is>
          <t>Пазори Рислинг — Denisov Winery — Белое брют</t>
        </is>
      </c>
      <c r="F35" t="inlineStr">
        <is>
          <t>denisov_pazori_risling</t>
        </is>
      </c>
      <c r="G35" t="inlineStr">
        <is>
          <t>denisov-winery-pino-nuar-shardone-ekstra-bryut-beloe-125</t>
        </is>
      </c>
      <c r="H35" t="inlineStr">
        <is>
          <t>vinodelnya-zhakov-saperavi-vyderzhannoe-krasnoe-suhoe-115</t>
        </is>
      </c>
      <c r="I35" t="inlineStr">
        <is>
          <t>vinodelnya-uzunov-nrav-krasnostop-zolotovskiy-krasnoe-suhoe-132</t>
        </is>
      </c>
      <c r="J35" t="inlineStr">
        <is>
          <t>usadba-aleksandrovskaya-bubnovyy-valet-kaberne-sovinon-krasnoe-polusladkoe-13</t>
        </is>
      </c>
      <c r="K35">
        <f>IF(C35="","",IFERROR(MATCH(C35,F35:J35,0),"нет"))</f>
        <v/>
      </c>
      <c r="L35">
        <f>IF(C35="","",IF(K35=1,1,0))</f>
        <v/>
      </c>
      <c r="M35">
        <f>IF(C35="","",IF(ISNUMBER(K35),1,0))</f>
        <v/>
      </c>
      <c r="N35" t="inlineStr">
        <is>
          <t>Пазори Рислинг — Denisov Winery — Белое брют</t>
        </is>
      </c>
      <c r="O35" t="inlineStr">
        <is>
          <t>Пино Нуар - Шардоне экстра брют — Denisov Winery — Белое экстра брют</t>
        </is>
      </c>
      <c r="P35" t="inlineStr">
        <is>
          <t>Саперави выдержанное — Винодельня Жаков — Красное сухое</t>
        </is>
      </c>
      <c r="Q35" t="inlineStr">
        <is>
          <t>Нрав — Винодельня Узунов — Красное сухое</t>
        </is>
      </c>
      <c r="R35" t="inlineStr">
        <is>
          <t>Бубновый Валет — Усадьба Александровская — Красное полусладкое</t>
        </is>
      </c>
      <c r="S35" s="3" t="n">
        <v>0.999468982219696</v>
      </c>
      <c r="T35" s="3" t="n">
        <v>0.0004878360778093338</v>
      </c>
      <c r="U35" t="n">
        <v>1116.3</v>
      </c>
    </row>
    <row r="36">
      <c r="A36" t="inlineStr">
        <is>
          <t>94.72_21-08-2026_15-41-48.webp</t>
        </is>
      </c>
      <c r="B36" t="inlineStr">
        <is>
          <t>не уверен</t>
        </is>
      </c>
      <c r="C36" t="inlineStr">
        <is>
          <t>derbent-vino-desono-kaberne-sovinon-krasnoe-suhoe-125</t>
        </is>
      </c>
      <c r="D36" t="inlineStr">
        <is>
          <t>Дэсоно Каберне Совиньон — Дербент Вино — Красное сухое</t>
        </is>
      </c>
      <c r="E36" t="inlineStr">
        <is>
          <t>есть такое, но надпись внизу несоответствует, она больше. но фактически одно и то же</t>
        </is>
      </c>
      <c r="F36" t="inlineStr">
        <is>
          <t>derbent-vino-desono-kaberne-sovinon-krasnoe-suhoe-125</t>
        </is>
      </c>
      <c r="G36" t="inlineStr">
        <is>
          <t>derbent-vino-desono-kaberne-fran-krasnoe-suhoe-125</t>
        </is>
      </c>
      <c r="H36" t="inlineStr">
        <is>
          <t>derbent-vino-desono-merlo-krasnoe-suhoe-125</t>
        </is>
      </c>
      <c r="I36" t="inlineStr">
        <is>
          <t>derbent-vino-desono-risling-beloe-suhoe-125</t>
        </is>
      </c>
      <c r="J36" t="inlineStr">
        <is>
          <t>derbent-vino-desono-shardone-beloe-suhoe-125</t>
        </is>
      </c>
      <c r="K36">
        <f>IF(C36="","",IFERROR(MATCH(C36,F36:J36,0),"нет"))</f>
        <v/>
      </c>
      <c r="L36">
        <f>IF(C36="","",IF(K36=1,1,0))</f>
        <v/>
      </c>
      <c r="M36">
        <f>IF(C36="","",IF(ISNUMBER(K36),1,0))</f>
        <v/>
      </c>
      <c r="N36" t="inlineStr">
        <is>
          <t>Дэсоно Каберне Совиньон — Дербент Вино — Красное сухое</t>
        </is>
      </c>
      <c r="O36" t="inlineStr">
        <is>
          <t>Дэсоно Каберне Фран — Дербент Вино — Красное сухое</t>
        </is>
      </c>
      <c r="P36" t="inlineStr">
        <is>
          <t>Дэсоно Мерло — Дербент Вино — Красное сухое</t>
        </is>
      </c>
      <c r="Q36" t="inlineStr">
        <is>
          <t>Дэсоно Рислинг — Дербент Вино — Белое сухое</t>
        </is>
      </c>
      <c r="R36" t="inlineStr">
        <is>
          <t>Дэсоно Шардоне — Дербент Вино — Белое сухое</t>
        </is>
      </c>
      <c r="S36" s="3" t="n">
        <v>0.9999988079071045</v>
      </c>
      <c r="T36" s="3" t="n">
        <v>3.059019491047366e-07</v>
      </c>
      <c r="U36" t="n">
        <v>613.2</v>
      </c>
    </row>
    <row r="37">
      <c r="A37" t="inlineStr">
        <is>
          <t>94.7_25-08-2026_15-52-07.webp</t>
        </is>
      </c>
      <c r="B37" t="inlineStr">
        <is>
          <t>уверенно</t>
        </is>
      </c>
      <c r="C37" t="inlineStr">
        <is>
          <t>czitronnyj-magaracha-sovinon-blan</t>
        </is>
      </c>
      <c r="D37" t="inlineStr">
        <is>
          <t>Жемчужная 9 Цитрон, Совиньон блан — АРАТТИ — Белое полусухое</t>
        </is>
      </c>
      <c r="F37" t="inlineStr">
        <is>
          <t>czitronnyj-magaracha-sovinon-blan</t>
        </is>
      </c>
      <c r="G37" t="inlineStr">
        <is>
          <t>zhemchuzhnaya-9-czitron-shardone-1</t>
        </is>
      </c>
      <c r="H37" t="inlineStr">
        <is>
          <t>zhemchuzhnaya-9-aligote-czitron</t>
        </is>
      </c>
      <c r="I37" t="inlineStr">
        <is>
          <t>zhemchuzhnaya-9-czitron-shardone</t>
        </is>
      </c>
      <c r="J37" t="inlineStr">
        <is>
          <t>zhemchuzhnaya-9-sovinon-blan-aligote</t>
        </is>
      </c>
      <c r="K37">
        <f>IF(C37="","",IFERROR(MATCH(C37,F37:J37,0),"нет"))</f>
        <v/>
      </c>
      <c r="L37">
        <f>IF(C37="","",IF(K37=1,1,0))</f>
        <v/>
      </c>
      <c r="M37">
        <f>IF(C37="","",IF(ISNUMBER(K37),1,0))</f>
        <v/>
      </c>
      <c r="N37" t="inlineStr">
        <is>
          <t>Жемчужная 9 Цитрон, Совиньон блан — АРАТТИ — Белое полусухое</t>
        </is>
      </c>
      <c r="O37" t="inlineStr">
        <is>
          <t>Жемчужная 9 Цитрон, Шардоне — АРАТТИ — Белое полусладкое</t>
        </is>
      </c>
      <c r="P37" t="inlineStr">
        <is>
          <t>Жемчужная 9 Алиготе, Цитрон — АРАТТИ — Белое сухое</t>
        </is>
      </c>
      <c r="Q37" t="inlineStr">
        <is>
          <t>Жемчужная 9 Цитрон, Шардоне — АРАТТИ — Белое сухое</t>
        </is>
      </c>
      <c r="R37" t="inlineStr">
        <is>
          <t>Жемчужная 9 Совиньон блан, Алиготе — АРАТТИ — Белое сухое</t>
        </is>
      </c>
      <c r="S37" s="3" t="n">
        <v>0.9999997615814209</v>
      </c>
      <c r="T37" s="3" t="n">
        <v>1.125351474229319e-07</v>
      </c>
      <c r="U37" t="n">
        <v>633.5</v>
      </c>
    </row>
    <row r="38">
      <c r="A38" t="inlineStr">
        <is>
          <t>94.83_27-08-2026_14-29-28.webp</t>
        </is>
      </c>
      <c r="B38" t="inlineStr">
        <is>
          <t>нет в каталоге</t>
        </is>
      </c>
      <c r="F38" t="inlineStr">
        <is>
          <t>shato-pino-sovinon-blan-semilon-beloe-suhoe-115</t>
        </is>
      </c>
      <c r="G38" t="inlineStr">
        <is>
          <t>shato-pino-gravitatsiya-kaberne-sovinon-merlo-krasnoe-suhoe-135</t>
        </is>
      </c>
      <c r="H38" t="inlineStr">
        <is>
          <t>shato-pino-marselan-merlo-krasnoe-suhoe-13</t>
        </is>
      </c>
      <c r="I38" t="inlineStr">
        <is>
          <t>shato-pino-aligote-rkatsiteli-beloe-suhoe-12</t>
        </is>
      </c>
      <c r="J38" t="inlineStr">
        <is>
          <t>shato-pino-shardone-beloe-suhoe-125</t>
        </is>
      </c>
      <c r="K38">
        <f>IF(C38="","",IFERROR(MATCH(C38,F38:J38,0),"нет"))</f>
        <v/>
      </c>
      <c r="L38">
        <f>IF(C38="","",IF(K38=1,1,0))</f>
        <v/>
      </c>
      <c r="M38">
        <f>IF(C38="","",IF(ISNUMBER(K38),1,0))</f>
        <v/>
      </c>
      <c r="N38" t="inlineStr">
        <is>
          <t>Совиньон Блан - Семильон — Шато Пино — Белое сухое</t>
        </is>
      </c>
      <c r="O38" t="inlineStr">
        <is>
          <t>Гравитация. Каберне Совиньон - Мерло — Шато Пино — Красное сухое</t>
        </is>
      </c>
      <c r="P38" t="inlineStr">
        <is>
          <t>Марселан - Мерло — Шато Пино — Красное сухое</t>
        </is>
      </c>
      <c r="Q38" t="inlineStr">
        <is>
          <t>Алиготе - Ркацители белое сухое — Шато Пино — Белое сухое</t>
        </is>
      </c>
      <c r="R38" t="inlineStr">
        <is>
          <t>Шардоне — Шато Пино — Белое сухое</t>
        </is>
      </c>
      <c r="S38" s="3" t="n">
        <v>0.7512252926826477</v>
      </c>
      <c r="T38" s="3" t="n">
        <v>0.2438871264457703</v>
      </c>
      <c r="U38" t="n">
        <v>647.5</v>
      </c>
    </row>
    <row r="39">
      <c r="A39" t="inlineStr">
        <is>
          <t>94.8_01-09-2026_10-10-02.webp</t>
        </is>
      </c>
      <c r="B39" t="inlineStr">
        <is>
          <t>нет в каталоге</t>
        </is>
      </c>
      <c r="F39" t="inlineStr">
        <is>
          <t>vinodelnya-pokrovskaya-pokrovskoe-sladkoe-krasnoe-kaberne-sovinon-13</t>
        </is>
      </c>
      <c r="G39" t="inlineStr">
        <is>
          <t>massandra-muskat-belyy-yuzhnoberezhnyy-beloe-sladkoe-16</t>
        </is>
      </c>
      <c r="H39" t="inlineStr">
        <is>
          <t>massandra-portveyn-krasnyy-alushta-krasnye-sorta-vinograda-krasnoe-sladkoe-17</t>
        </is>
      </c>
      <c r="I39" t="inlineStr">
        <is>
          <t>kaberne-sovinon</t>
        </is>
      </c>
      <c r="J39" t="inlineStr">
        <is>
          <t>massandra-portveyn-krasnyy-livadiya-kaberne-sovinon-krasnoe-sladkoe-185</t>
        </is>
      </c>
      <c r="K39">
        <f>IF(C39="","",IFERROR(MATCH(C39,F39:J39,0),"нет"))</f>
        <v/>
      </c>
      <c r="L39">
        <f>IF(C39="","",IF(K39=1,1,0))</f>
        <v/>
      </c>
      <c r="M39">
        <f>IF(C39="","",IF(ISNUMBER(K39),1,0))</f>
        <v/>
      </c>
      <c r="N39" t="inlineStr">
        <is>
          <t>Покровское сладкое красное — Винодельня Покровская — Красное сладкое</t>
        </is>
      </c>
      <c r="O39" t="inlineStr">
        <is>
          <t>Мускат Белый Южнобережный — Массандра — Белое сладкое</t>
        </is>
      </c>
      <c r="P39" t="inlineStr">
        <is>
          <t>Портвейн красный Алушта — Массандра — Красное сладкое</t>
        </is>
      </c>
      <c r="Q39" t="inlineStr">
        <is>
          <t>Каберне Совиньон — Массандра — Красное сладкое</t>
        </is>
      </c>
      <c r="R39" t="inlineStr">
        <is>
          <t>Портвейн красный Ливадия — Массандра — Красное сладкое</t>
        </is>
      </c>
      <c r="S39" s="3" t="n">
        <v>0.1473920792341232</v>
      </c>
      <c r="T39" s="3" t="n">
        <v>0.8481829166412354</v>
      </c>
      <c r="U39" t="n">
        <v>784.6</v>
      </c>
    </row>
    <row r="40">
      <c r="A40" t="inlineStr">
        <is>
          <t>94.94_05-09-2026_15-04-50.webp</t>
        </is>
      </c>
      <c r="B40" t="inlineStr">
        <is>
          <t>не уверен</t>
        </is>
      </c>
      <c r="C40" t="inlineStr">
        <is>
          <t>denisov-winery-sovinon-blan-beloe-suhoe-115</t>
        </is>
      </c>
      <c r="D40" t="inlineStr">
        <is>
          <t>Совиньон Блан — Denisov Winery — Белое сухое</t>
        </is>
      </c>
      <c r="E40" t="inlineStr">
        <is>
          <t>этикетка немного другая. в slug черная, а на фото белая</t>
        </is>
      </c>
      <c r="F40" t="inlineStr">
        <is>
          <t>denisov-winery-sovinon-blan-beloe-suhoe-115</t>
        </is>
      </c>
      <c r="G40" t="inlineStr">
        <is>
          <t>dubinin-winery-sovinon-blan-beloe-suhoe-12</t>
        </is>
      </c>
      <c r="H40" t="inlineStr">
        <is>
          <t>imenie-sikory-sovinon-blan-sikory-beloe-suhoe-13</t>
        </is>
      </c>
      <c r="I40" t="inlineStr">
        <is>
          <t>zhemchuzhnaya-9-sovinon-blan-aligote</t>
        </is>
      </c>
      <c r="J40" t="inlineStr">
        <is>
          <t>levokumskoe-sovinon-blan-beloe-suhoe-10</t>
        </is>
      </c>
      <c r="K40">
        <f>IF(C40="","",IFERROR(MATCH(C40,F40:J40,0),"нет"))</f>
        <v/>
      </c>
      <c r="L40">
        <f>IF(C40="","",IF(K40=1,1,0))</f>
        <v/>
      </c>
      <c r="M40">
        <f>IF(C40="","",IF(ISNUMBER(K40),1,0))</f>
        <v/>
      </c>
      <c r="N40" t="inlineStr">
        <is>
          <t>Совиньон Блан — Denisov Winery — Белое сухое</t>
        </is>
      </c>
      <c r="O40" t="inlineStr">
        <is>
          <t>Совиньон Блан — Dubinin Winery — Белое сухое</t>
        </is>
      </c>
      <c r="P40" t="inlineStr">
        <is>
          <t>Совиньон Блан Сикоры — Имение Сикоры — Белое сухое</t>
        </is>
      </c>
      <c r="Q40" t="inlineStr">
        <is>
          <t>Жемчужная 9 Совиньон блан, Алиготе — АРАТТИ — Белое сухое</t>
        </is>
      </c>
      <c r="R40" t="inlineStr">
        <is>
          <t>Совиньон Блан — Левокумское — Белое сухое</t>
        </is>
      </c>
      <c r="S40" s="3" t="n">
        <v>0.9999997615814209</v>
      </c>
      <c r="T40" s="3" t="n">
        <v>8.764246217651817e-08</v>
      </c>
      <c r="U40" t="n">
        <v>761.7</v>
      </c>
    </row>
    <row r="41">
      <c r="A41" t="inlineStr">
        <is>
          <t>94.97_02-09-2026_19-01-48.webp</t>
        </is>
      </c>
      <c r="B41" t="inlineStr">
        <is>
          <t>уверенно</t>
        </is>
      </c>
      <c r="C41" t="inlineStr">
        <is>
          <t>zhemchuzhnaya-9-pino-nuar-muskat-rozovyj-2</t>
        </is>
      </c>
      <c r="D41" t="inlineStr">
        <is>
          <t>Жемчужная 9 Пино нуар, Мускат Розовый — АРАТТИ — Розовое полусладкое</t>
        </is>
      </c>
      <c r="F41" t="inlineStr">
        <is>
          <t>zhemchuzhnaya-9-pino-nuar-muskat-rozovyj-2</t>
        </is>
      </c>
      <c r="G41" t="inlineStr">
        <is>
          <t>zhemchuzhnaya-9-pino-nuar-muskat-rozovyj-1</t>
        </is>
      </c>
      <c r="H41" t="inlineStr">
        <is>
          <t>zhemchuzhnaya-9-pino-nuar-muskat-rozovyj</t>
        </is>
      </c>
      <c r="I41" t="inlineStr">
        <is>
          <t>zhemchuzhnaya-9-muskat-rozovyj-pino-gri</t>
        </is>
      </c>
      <c r="J41" t="inlineStr">
        <is>
          <t>zhemchuzhnaya-9-muskat-rozovyj-kaberne-sovinon</t>
        </is>
      </c>
      <c r="K41">
        <f>IF(C41="","",IFERROR(MATCH(C41,F41:J41,0),"нет"))</f>
        <v/>
      </c>
      <c r="L41">
        <f>IF(C41="","",IF(K41=1,1,0))</f>
        <v/>
      </c>
      <c r="M41">
        <f>IF(C41="","",IF(ISNUMBER(K41),1,0))</f>
        <v/>
      </c>
      <c r="N41" t="inlineStr">
        <is>
          <t>Жемчужная 9 Пино нуар, Мускат Розовый — АРАТТИ — Розовое полусладкое</t>
        </is>
      </c>
      <c r="O41" t="inlineStr">
        <is>
          <t>Жемчужная 9 Пино Нуар, Мускат розовый — АРАТТИ — Розовое полусухое</t>
        </is>
      </c>
      <c r="P41" t="inlineStr">
        <is>
          <t>Жемчужная 9 Пино Нуар, Мускат Розовый — АРАТТИ — Розовое сухое</t>
        </is>
      </c>
      <c r="Q41" t="inlineStr">
        <is>
          <t>Жемчужная 9 Мускат Розовый, Пино гри — АРАТТИ — Розовое сухое</t>
        </is>
      </c>
      <c r="R41" t="inlineStr">
        <is>
          <t>Жемчужная 9 Мускат Розовый, Каберне Совиньон — АРАТТИ — Розовое полусладкое</t>
        </is>
      </c>
      <c r="S41" s="3" t="n">
        <v>0.9999828338623047</v>
      </c>
      <c r="T41" s="3" t="n">
        <v>8.764097714220043e-08</v>
      </c>
      <c r="U41" t="n">
        <v>657.5</v>
      </c>
    </row>
    <row r="42">
      <c r="A42" t="inlineStr">
        <is>
          <t>95.03_04-09-2026_11-39-35.webp</t>
        </is>
      </c>
      <c r="B42" t="inlineStr">
        <is>
          <t>уверенно</t>
        </is>
      </c>
      <c r="C42" t="inlineStr">
        <is>
          <t>fanagoriya-zelyonoe-vino-risling-tsitronnyy-magaracha-beloe-polusuhoe-11</t>
        </is>
      </c>
      <c r="D42" t="inlineStr">
        <is>
          <t>Зелёное вино. Рислинг - Цитронный Магарача — Фанагория — Белое полусухое</t>
        </is>
      </c>
      <c r="F42" t="inlineStr">
        <is>
          <t>fanagoriya-zelyonoe-vino-risling-tsitronnyy-magaracha-beloe-polusuhoe-11</t>
        </is>
      </c>
      <c r="G42" t="inlineStr">
        <is>
          <t>fanagoriya-zelyonoe-vino-risling-tsitronnyy-magaracha-merlo-rozovoe-polusuhoe-11</t>
        </is>
      </c>
      <c r="H42" t="inlineStr">
        <is>
          <t>levokumskoe-beloe-rkatsiteli-suhoe-10</t>
        </is>
      </c>
      <c r="I42" t="inlineStr">
        <is>
          <t>fanagoriya-beloe-polusladkoe</t>
        </is>
      </c>
      <c r="J42" t="inlineStr">
        <is>
          <t>eleonora</t>
        </is>
      </c>
      <c r="K42">
        <f>IF(C42="","",IFERROR(MATCH(C42,F42:J42,0),"нет"))</f>
        <v/>
      </c>
      <c r="L42">
        <f>IF(C42="","",IF(K42=1,1,0))</f>
        <v/>
      </c>
      <c r="M42">
        <f>IF(C42="","",IF(ISNUMBER(K42),1,0))</f>
        <v/>
      </c>
      <c r="N42" t="inlineStr">
        <is>
          <t>Зелёное вино. Рислинг - Цитронный Магарача — Фанагория — Белое полусухое</t>
        </is>
      </c>
      <c r="O42" t="inlineStr">
        <is>
          <t>Зелёное вино. Рислинг - Цитронный Магарача - Мерло — Фанагория — Розовое полусухое</t>
        </is>
      </c>
      <c r="P42" t="inlineStr">
        <is>
          <t>Белое — Левокумское — Белое сухое</t>
        </is>
      </c>
      <c r="Q42" t="inlineStr">
        <is>
          <t>Фанагория белое полусладкое — Фанагория — Белое полусладкое</t>
        </is>
      </c>
      <c r="R42" t="inlineStr">
        <is>
          <t>Eleonora, 2021 — WINEMAFIA — Белое сухое</t>
        </is>
      </c>
      <c r="S42" s="3" t="n">
        <v>0.9999995231628418</v>
      </c>
      <c r="T42" s="3" t="n">
        <v>1.637376385588141e-07</v>
      </c>
      <c r="U42" t="n">
        <v>872.1</v>
      </c>
    </row>
    <row r="43">
      <c r="A43" t="inlineStr">
        <is>
          <t>95.07_01-09-2026_16-15-35.webp</t>
        </is>
      </c>
      <c r="B43" t="inlineStr">
        <is>
          <t>нет в каталоге</t>
        </is>
      </c>
      <c r="F43" t="inlineStr">
        <is>
          <t>khrustaleva-76-muscat-bryut-beloe</t>
        </is>
      </c>
      <c r="G43" t="inlineStr">
        <is>
          <t>aya-khrustaleva-76-merlot-organik</t>
        </is>
      </c>
      <c r="H43" t="inlineStr">
        <is>
          <t>khrustaleva-76-merlot-polusuhoe-rozovoe</t>
        </is>
      </c>
      <c r="I43" t="inlineStr">
        <is>
          <t>khrustaleva-76-muscat-polusladkoe-beloe</t>
        </is>
      </c>
      <c r="J43" t="inlineStr">
        <is>
          <t>novyy-svet-dom-shampanskih-vin-rossiyskoe-shampanskoe-kollektsionnoe-bryut-beloe-novyy-svet-kyuve-de-prestizh-pino-gri-millezim-rozovoe-125</t>
        </is>
      </c>
      <c r="K43">
        <f>IF(C43="","",IFERROR(MATCH(C43,F43:J43,0),"нет"))</f>
        <v/>
      </c>
      <c r="L43">
        <f>IF(C43="","",IF(K43=1,1,0))</f>
        <v/>
      </c>
      <c r="M43">
        <f>IF(C43="","",IF(ISNUMBER(K43),1,0))</f>
        <v/>
      </c>
      <c r="N43" t="inlineStr">
        <is>
          <t>Khrustaleva 76 muscat, брют, белое — AYA Organic Wine &amp; Vineyards — Белое брют</t>
        </is>
      </c>
      <c r="O43" t="inlineStr">
        <is>
          <t>Aya Khrustaleva 76 merlot Органик — AYA Organic Wine &amp; Vineyards — Розовое полусухое</t>
        </is>
      </c>
      <c r="P43" t="inlineStr">
        <is>
          <t>Khrustaleva 76 merlot, полусухое, розовое — AYA Organic Wine &amp; Vineyards — Розовое полусухое</t>
        </is>
      </c>
      <c r="Q43" t="inlineStr">
        <is>
          <t>Khrustaleva 76 muscat, полусладкое, белое — AYA Organic Wine &amp; Vineyards — Белое полусладкое</t>
        </is>
      </c>
      <c r="R43" t="inlineStr">
        <is>
          <t>Российское шампанское коллекционное брют белое «Новый Свет. Кюве Де Престиж Пино Гри Миллезим» — Новый Свет. Дом шампанских вин — Розовое брют</t>
        </is>
      </c>
      <c r="S43" s="3" t="n">
        <v>0.9994609951972961</v>
      </c>
      <c r="T43" s="3" t="n">
        <v>0.0003799240803346038</v>
      </c>
      <c r="U43" t="n">
        <v>1072.8</v>
      </c>
    </row>
    <row r="44">
      <c r="A44" t="inlineStr">
        <is>
          <t>95.17_29-08-2026_11-06-42.webp</t>
        </is>
      </c>
      <c r="B44" t="inlineStr">
        <is>
          <t>нет в каталоге</t>
        </is>
      </c>
      <c r="F44" t="inlineStr">
        <is>
          <t>golubitskoe-estate-pino-nuar-rezerv-krasnoe-suhoe-132</t>
        </is>
      </c>
      <c r="G44" t="inlineStr">
        <is>
          <t>golubitskoe-estate-winery-series-pino-nuar-rozovoe-suhoe-115</t>
        </is>
      </c>
      <c r="H44" t="inlineStr">
        <is>
          <t>golubitskoe-estate-red-blend-kaberne-sovinon-krasnoe-suhoe-136</t>
        </is>
      </c>
      <c r="I44" t="inlineStr">
        <is>
          <t>golubitskoe-estate-sovinon-blan-beloe-suhoe-11</t>
        </is>
      </c>
      <c r="J44" t="inlineStr">
        <is>
          <t>golubitskoe-estate-shardone-rezerv-beloe-suhoe-135</t>
        </is>
      </c>
      <c r="K44">
        <f>IF(C44="","",IFERROR(MATCH(C44,F44:J44,0),"нет"))</f>
        <v/>
      </c>
      <c r="L44">
        <f>IF(C44="","",IF(K44=1,1,0))</f>
        <v/>
      </c>
      <c r="M44">
        <f>IF(C44="","",IF(ISNUMBER(K44),1,0))</f>
        <v/>
      </c>
      <c r="N44" t="inlineStr">
        <is>
          <t>Пино Нуар Резерв — Golubitskoe Estate — Красное сухое</t>
        </is>
      </c>
      <c r="O44" t="inlineStr">
        <is>
          <t>Winery Series. Пино Нуар — Golubitskoe Estate — Розовое сухое</t>
        </is>
      </c>
      <c r="P44" t="inlineStr">
        <is>
          <t>Red Blend — Golubitskoe Estate — Красное сухое</t>
        </is>
      </c>
      <c r="Q44" t="inlineStr">
        <is>
          <t>Совиньон Блан — Golubitskoe Estate — Белое сухое</t>
        </is>
      </c>
      <c r="R44" t="inlineStr">
        <is>
          <t>Шардоне Резерв — Golubitskoe Estate — Белое сухое</t>
        </is>
      </c>
      <c r="S44" s="3" t="n">
        <v>0.9875153303146362</v>
      </c>
      <c r="T44" s="3" t="n">
        <v>5.354553195502376e-06</v>
      </c>
      <c r="U44" t="n">
        <v>617.6</v>
      </c>
    </row>
    <row r="45">
      <c r="A45" t="inlineStr">
        <is>
          <t>95.19_05-09-2026_15-32-06.webp</t>
        </is>
      </c>
      <c r="B45" t="inlineStr">
        <is>
          <t>нет в каталоге</t>
        </is>
      </c>
      <c r="F45" t="inlineStr">
        <is>
          <t>fanagoriya-alveus-ultra-cuvee-bryut-rozovoe-merlo-igristoe-bryut-rozovoe-12</t>
        </is>
      </c>
      <c r="G45" t="inlineStr">
        <is>
          <t>fanagoriya-alveus-ultra-cuvee-brut-shardone-beloe-bryut-12</t>
        </is>
      </c>
      <c r="H45" t="inlineStr">
        <is>
          <t>fanagoriya-blanc-de-blancs-shardone-beloe-bryut-12</t>
        </is>
      </c>
      <c r="I45" t="inlineStr">
        <is>
          <t>fanagoriya-alveus-ultra-cuvee-ekstra-bryut-rozovoe-merlo-12</t>
        </is>
      </c>
      <c r="J45" t="inlineStr">
        <is>
          <t>fanagoriya-alveus-ultra-cuvee-ekstra-bryut-beloe-risling-reynskiy-12</t>
        </is>
      </c>
      <c r="K45">
        <f>IF(C45="","",IFERROR(MATCH(C45,F45:J45,0),"нет"))</f>
        <v/>
      </c>
      <c r="L45">
        <f>IF(C45="","",IF(K45=1,1,0))</f>
        <v/>
      </c>
      <c r="M45">
        <f>IF(C45="","",IF(ISNUMBER(K45),1,0))</f>
        <v/>
      </c>
      <c r="N45" t="inlineStr">
        <is>
          <t>Alveus Ultra Cuvee. Брют розовое — Фанагория — Розовое брют</t>
        </is>
      </c>
      <c r="O45" t="inlineStr">
        <is>
          <t>Alveus Ultra Cuvee Brut — Фанагория — Белое брют</t>
        </is>
      </c>
      <c r="P45" t="inlineStr">
        <is>
          <t>Blanc de Blancs — Фанагория — Белое брют</t>
        </is>
      </c>
      <c r="Q45" t="inlineStr">
        <is>
          <t>Alveus Ultra Cuvee. Экстра брют розовое — Фанагория — Розовое экстра брют</t>
        </is>
      </c>
      <c r="R45" t="inlineStr">
        <is>
          <t>Alveus Ultra Cuvee. Экстра брют белое — Фанагория — Белое экстра брют</t>
        </is>
      </c>
      <c r="S45" s="3" t="n">
        <v>0.7021527290344238</v>
      </c>
      <c r="T45" s="3" t="n">
        <v>0.2927007973194122</v>
      </c>
      <c r="U45" t="n">
        <v>1119.3</v>
      </c>
    </row>
    <row r="46">
      <c r="A46" t="inlineStr">
        <is>
          <t>95.24_19-08-2026_20-00-22.webp</t>
        </is>
      </c>
      <c r="B46" t="inlineStr">
        <is>
          <t>уверенно</t>
        </is>
      </c>
      <c r="C46" t="inlineStr">
        <is>
          <t>zhemchuzhnaya-9-czitron-shardone-1</t>
        </is>
      </c>
      <c r="D46" t="inlineStr">
        <is>
          <t>Жемчужная 9 Цитрон, Шардоне — АРАТТИ — Белое полусладкое</t>
        </is>
      </c>
      <c r="F46" t="inlineStr">
        <is>
          <t>zhemchuzhnaya-9-czitron-shardone-1</t>
        </is>
      </c>
      <c r="G46" t="inlineStr">
        <is>
          <t>czitronnyj-magaracha-sovinon-blan</t>
        </is>
      </c>
      <c r="H46" t="inlineStr">
        <is>
          <t>zhemchuzhnaya-9-aligote-czitron</t>
        </is>
      </c>
      <c r="I46" t="inlineStr">
        <is>
          <t>zhemchuzhnaya-9-czitron-shardone</t>
        </is>
      </c>
      <c r="J46" t="inlineStr">
        <is>
          <t>zhemchuzhnaya-9-sovinon-blan-aligote</t>
        </is>
      </c>
      <c r="K46">
        <f>IF(C46="","",IFERROR(MATCH(C46,F46:J46,0),"нет"))</f>
        <v/>
      </c>
      <c r="L46">
        <f>IF(C46="","",IF(K46=1,1,0))</f>
        <v/>
      </c>
      <c r="M46">
        <f>IF(C46="","",IF(ISNUMBER(K46),1,0))</f>
        <v/>
      </c>
      <c r="N46" t="inlineStr">
        <is>
          <t>Жемчужная 9 Цитрон, Шардоне — АРАТТИ — Белое полусладкое</t>
        </is>
      </c>
      <c r="O46" t="inlineStr">
        <is>
          <t>Жемчужная 9 Цитрон, Совиньон блан — АРАТТИ — Белое полусухое</t>
        </is>
      </c>
      <c r="P46" t="inlineStr">
        <is>
          <t>Жемчужная 9 Алиготе, Цитрон — АРАТТИ — Белое сухое</t>
        </is>
      </c>
      <c r="Q46" t="inlineStr">
        <is>
          <t>Жемчужная 9 Цитрон, Шардоне — АРАТТИ — Белое сухое</t>
        </is>
      </c>
      <c r="R46" t="inlineStr">
        <is>
          <t>Жемчужная 9 Совиньон блан, Алиготе — АРАТТИ — Белое сухое</t>
        </is>
      </c>
      <c r="S46" s="3" t="n">
        <v>0.9999998807907104</v>
      </c>
      <c r="T46" s="3" t="n">
        <v>9.931193289958173e-08</v>
      </c>
      <c r="U46" t="n">
        <v>639.2</v>
      </c>
    </row>
    <row r="47">
      <c r="A47" t="inlineStr">
        <is>
          <t>95.29_21-08-2026_17-24-49.webp</t>
        </is>
      </c>
      <c r="B47" t="inlineStr">
        <is>
          <t>нет в каталоге</t>
        </is>
      </c>
      <c r="F47" t="inlineStr">
        <is>
          <t>risling-1</t>
        </is>
      </c>
      <c r="G47" t="inlineStr">
        <is>
          <t>usadba-mezyb-shishka-pino-nuar-rozovoe-suhoe-115</t>
        </is>
      </c>
      <c r="H47" t="inlineStr">
        <is>
          <t>usadba-perovskih-pino-nuar-rezerv-krasnoe-suhoe-122</t>
        </is>
      </c>
      <c r="I47" t="inlineStr">
        <is>
          <t>bakla-vines-pino-nuar-krasnoe-suhoe-125</t>
        </is>
      </c>
      <c r="J47" t="inlineStr">
        <is>
          <t>vaynkraft-pino-nuar-krasnoe-suhoe-13</t>
        </is>
      </c>
      <c r="K47">
        <f>IF(C47="","",IFERROR(MATCH(C47,F47:J47,0),"нет"))</f>
        <v/>
      </c>
      <c r="L47">
        <f>IF(C47="","",IF(K47=1,1,0))</f>
        <v/>
      </c>
      <c r="M47">
        <f>IF(C47="","",IF(ISNUMBER(K47),1,0))</f>
        <v/>
      </c>
      <c r="N47" t="inlineStr">
        <is>
          <t>Рислинг — Табия — Белое полусухое</t>
        </is>
      </c>
      <c r="O47" t="inlineStr">
        <is>
          <t>Шишка. Пино Нуар — Усадьба Мезыбь — Розовое сухое</t>
        </is>
      </c>
      <c r="P47" t="inlineStr">
        <is>
          <t>Пино Нуар Резерв — Усадьба Перовских — Красное сухое</t>
        </is>
      </c>
      <c r="Q47" t="inlineStr">
        <is>
          <t>Пино Нуар — Bakla Vines — Красное сухое</t>
        </is>
      </c>
      <c r="R47" t="inlineStr">
        <is>
          <t>Пино Нуар — ВайнКрафт — Красное сухое</t>
        </is>
      </c>
      <c r="S47" s="3" t="n">
        <v>0.9999774694442749</v>
      </c>
      <c r="T47" s="3" t="n">
        <v>2.260278506582836e-06</v>
      </c>
      <c r="U47" t="n">
        <v>879.5</v>
      </c>
    </row>
    <row r="48">
      <c r="A48" t="inlineStr">
        <is>
          <t>95.2_05-09-2026_13-54-13.webp</t>
        </is>
      </c>
      <c r="B48" t="inlineStr">
        <is>
          <t>уверенно</t>
        </is>
      </c>
      <c r="C48" t="inlineStr">
        <is>
          <t>aratti-kaberne-po-belomu-1</t>
        </is>
      </c>
      <c r="D48" t="inlineStr">
        <is>
          <t>АРАТТИ Каберне по-белому — АРАТТИ — Розовое полусухое</t>
        </is>
      </c>
      <c r="F48" t="inlineStr">
        <is>
          <t>aratti-kaberne-po-belomu-1</t>
        </is>
      </c>
      <c r="G48" t="inlineStr">
        <is>
          <t>aratti-kaberne-po-belomu</t>
        </is>
      </c>
      <c r="H48" t="inlineStr">
        <is>
          <t>aratti-kaberne-sovinon-2021-krasnoe-suhoe</t>
        </is>
      </c>
      <c r="I48" t="inlineStr">
        <is>
          <t>aratti-muskat-belyj-polusuhoe</t>
        </is>
      </c>
      <c r="J48" t="inlineStr">
        <is>
          <t>aratti-muskat-belyj-suhoe</t>
        </is>
      </c>
      <c r="K48">
        <f>IF(C48="","",IFERROR(MATCH(C48,F48:J48,0),"нет"))</f>
        <v/>
      </c>
      <c r="L48">
        <f>IF(C48="","",IF(K48=1,1,0))</f>
        <v/>
      </c>
      <c r="M48">
        <f>IF(C48="","",IF(ISNUMBER(K48),1,0))</f>
        <v/>
      </c>
      <c r="N48" t="inlineStr">
        <is>
          <t>АРАТТИ Каберне по-белому — АРАТТИ — Розовое полусухое</t>
        </is>
      </c>
      <c r="O48" t="inlineStr">
        <is>
          <t>АРАТТИ Каберне по-белому — АРАТТИ — Красное сухое</t>
        </is>
      </c>
      <c r="P48" t="inlineStr">
        <is>
          <t>АРАТТИ Каберне Совиньон 2021 красное сухое — АРАТТИ — Красное сухое</t>
        </is>
      </c>
      <c r="Q48" t="inlineStr">
        <is>
          <t>АРАТТИ Мускат белый полусухое — АРАТТИ — Белое полусухое</t>
        </is>
      </c>
      <c r="R48" t="inlineStr">
        <is>
          <t>АРАТТИ Мускат белый сухое — АРАТТИ — Белое сухое</t>
        </is>
      </c>
      <c r="S48" s="3" t="n">
        <v>0.9999988079071045</v>
      </c>
      <c r="T48" s="3" t="n">
        <v>2.382366801612079e-07</v>
      </c>
      <c r="U48" t="n">
        <v>652.6</v>
      </c>
    </row>
    <row r="49">
      <c r="A49" t="inlineStr">
        <is>
          <t>95.32_02-09-2026_12-09-23.webp</t>
        </is>
      </c>
      <c r="B49" t="inlineStr">
        <is>
          <t>уверенно</t>
        </is>
      </c>
      <c r="C49" t="inlineStr">
        <is>
          <t>sovinon-blan</t>
        </is>
      </c>
      <c r="D49" t="inlineStr">
        <is>
          <t>Совиньон Блан — Литавщук. Litavshchuk vineyards &amp; winery — Белое полусладкое</t>
        </is>
      </c>
      <c r="F49" t="inlineStr">
        <is>
          <t>sovinon-blan</t>
        </is>
      </c>
      <c r="G49" t="inlineStr">
        <is>
          <t>blagolyubov-sovinon-blan-beloe-suhoe-125</t>
        </is>
      </c>
      <c r="H49" t="inlineStr">
        <is>
          <t>dubinin-winery-sovinon-blan-beloe-suhoe-12</t>
        </is>
      </c>
      <c r="I49" t="inlineStr">
        <is>
          <t>vinodelnya-begildeeva-kaberne-sovinon-krasnoe-suhoe-14</t>
        </is>
      </c>
      <c r="J49" t="inlineStr">
        <is>
          <t>vinodelnya-begildeeva-kaberne-sovinon-merlo-krasnoe-suhoe-14</t>
        </is>
      </c>
      <c r="K49">
        <f>IF(C49="","",IFERROR(MATCH(C49,F49:J49,0),"нет"))</f>
        <v/>
      </c>
      <c r="L49">
        <f>IF(C49="","",IF(K49=1,1,0))</f>
        <v/>
      </c>
      <c r="M49">
        <f>IF(C49="","",IF(ISNUMBER(K49),1,0))</f>
        <v/>
      </c>
      <c r="N49" t="inlineStr">
        <is>
          <t>Совиньон Блан — Литавщук. Litavshchuk vineyards &amp; winery — Белое полусладкое</t>
        </is>
      </c>
      <c r="O49" t="inlineStr">
        <is>
          <t>Совиньон Блан — Благолюбов — Белое сухое</t>
        </is>
      </c>
      <c r="P49" t="inlineStr">
        <is>
          <t>Совиньон Блан — Dubinin Winery — Белое сухое</t>
        </is>
      </c>
      <c r="Q49" t="inlineStr">
        <is>
          <t>Каберне Совиньон — Винодельня Бегильдеева — Красное сухое</t>
        </is>
      </c>
      <c r="R49" t="inlineStr">
        <is>
          <t>Каберне Совиньон – Мерло — Винодельня Бегильдеева — Красное сухое</t>
        </is>
      </c>
      <c r="S49" s="3" t="n">
        <v>0.9999997615814209</v>
      </c>
      <c r="T49" s="3" t="n">
        <v>1.855391076333035e-07</v>
      </c>
      <c r="U49" t="n">
        <v>859.6</v>
      </c>
    </row>
    <row r="50">
      <c r="A50" t="inlineStr">
        <is>
          <t>95.35_05-09-2026_15-29-53.webp</t>
        </is>
      </c>
      <c r="B50" t="inlineStr">
        <is>
          <t>нет в каталоге</t>
        </is>
      </c>
      <c r="F50" t="inlineStr">
        <is>
          <t>fanagoriya-alveus-ultra-cuvee-bryut-rozovoe-merlo-igristoe-bryut-rozovoe-12</t>
        </is>
      </c>
      <c r="G50" t="inlineStr">
        <is>
          <t>fanagoriya-blanc-de-blancs-shardone-beloe-bryut-12</t>
        </is>
      </c>
      <c r="H50" t="inlineStr">
        <is>
          <t>fanagoriya-alveus-ultra-cuvee-brut-shardone-beloe-bryut-12</t>
        </is>
      </c>
      <c r="I50" t="inlineStr">
        <is>
          <t>fanagoriya-alveus-ultra-cuvee-ekstra-bryut-rozovoe-merlo-12</t>
        </is>
      </c>
      <c r="J50" t="inlineStr">
        <is>
          <t>fanagoriya-alveus-ultra-cuvee-ekstra-bryut-beloe-risling-reynskiy-12</t>
        </is>
      </c>
      <c r="K50">
        <f>IF(C50="","",IFERROR(MATCH(C50,F50:J50,0),"нет"))</f>
        <v/>
      </c>
      <c r="L50">
        <f>IF(C50="","",IF(K50=1,1,0))</f>
        <v/>
      </c>
      <c r="M50">
        <f>IF(C50="","",IF(ISNUMBER(K50),1,0))</f>
        <v/>
      </c>
      <c r="N50" t="inlineStr">
        <is>
          <t>Alveus Ultra Cuvee. Брют розовое — Фанагория — Розовое брют</t>
        </is>
      </c>
      <c r="O50" t="inlineStr">
        <is>
          <t>Blanc de Blancs — Фанагория — Белое брют</t>
        </is>
      </c>
      <c r="P50" t="inlineStr">
        <is>
          <t>Alveus Ultra Cuvee Brut — Фанагория — Белое брют</t>
        </is>
      </c>
      <c r="Q50" t="inlineStr">
        <is>
          <t>Alveus Ultra Cuvee. Экстра брют розовое — Фанагория — Розовое экстра брют</t>
        </is>
      </c>
      <c r="R50" t="inlineStr">
        <is>
          <t>Alveus Ultra Cuvee. Экстра брют белое — Фанагория — Белое экстра брют</t>
        </is>
      </c>
      <c r="S50" s="3" t="n">
        <v>0.9992210865020752</v>
      </c>
      <c r="T50" s="3" t="n">
        <v>0.0005526535678654909</v>
      </c>
      <c r="U50" t="n">
        <v>1112.3</v>
      </c>
    </row>
    <row r="51">
      <c r="A51" t="inlineStr">
        <is>
          <t>95.36_28-08-2026_17-09-04.webp</t>
        </is>
      </c>
      <c r="B51" t="inlineStr">
        <is>
          <t>нет в каталоге</t>
        </is>
      </c>
      <c r="F51" t="inlineStr">
        <is>
          <t>winemaker-selection</t>
        </is>
      </c>
      <c r="G51" t="inlineStr">
        <is>
          <t>inkermanskiy-zmv-inkerman-bryut-rkatsiteli-beloe-12</t>
        </is>
      </c>
      <c r="H51" t="inlineStr">
        <is>
          <t>inkermanskiy-zmv-inkerman-bryut-shardone-beloe-135</t>
        </is>
      </c>
      <c r="I51" t="inlineStr">
        <is>
          <t>inkerman-shato-ruzh</t>
        </is>
      </c>
      <c r="J51" t="inlineStr">
        <is>
          <t>inkerman-shato-blan</t>
        </is>
      </c>
      <c r="K51">
        <f>IF(C51="","",IFERROR(MATCH(C51,F51:J51,0),"нет"))</f>
        <v/>
      </c>
      <c r="L51">
        <f>IF(C51="","",IF(K51=1,1,0))</f>
        <v/>
      </c>
      <c r="M51">
        <f>IF(C51="","",IF(ISNUMBER(K51),1,0))</f>
        <v/>
      </c>
      <c r="N51" t="inlineStr">
        <is>
          <t>Winemaker selection — Инкерманский ЗМВ — Белое полусухое</t>
        </is>
      </c>
      <c r="O51" t="inlineStr">
        <is>
          <t>Инкерман Брют — Инкерманский ЗМВ — Белое брют</t>
        </is>
      </c>
      <c r="P51" t="inlineStr">
        <is>
          <t>Inkerman брют — Инкерманский ЗМВ — Белое брют</t>
        </is>
      </c>
      <c r="Q51" t="inlineStr">
        <is>
          <t>Inkerman Шато Руж — Инкерманский ЗМВ — Красное полусухое</t>
        </is>
      </c>
      <c r="R51" t="inlineStr">
        <is>
          <t>Инкерман Шато Блан — Инкерманский ЗМВ — Белое полусухое</t>
        </is>
      </c>
      <c r="S51" s="3" t="n">
        <v>0.9999932050704956</v>
      </c>
      <c r="T51" s="3" t="n">
        <v>1.994720150833018e-06</v>
      </c>
      <c r="U51" t="n">
        <v>742.7</v>
      </c>
    </row>
    <row r="52">
      <c r="A52" t="inlineStr">
        <is>
          <t>95.49_05-09-2026_15-34-51.webp</t>
        </is>
      </c>
      <c r="B52" t="inlineStr">
        <is>
          <t>уверенно</t>
        </is>
      </c>
      <c r="C52" t="inlineStr">
        <is>
          <t>zhemchuzhnaya-9-pino-nuar-muskat-rozovyj-2</t>
        </is>
      </c>
      <c r="D52" t="inlineStr">
        <is>
          <t>Жемчужная 9 Пино нуар, Мускат Розовый — АРАТТИ — Розовое полусладкое</t>
        </is>
      </c>
      <c r="F52" t="inlineStr">
        <is>
          <t>zhemchuzhnaya-9-pino-nuar-muskat-rozovyj-2</t>
        </is>
      </c>
      <c r="G52" t="inlineStr">
        <is>
          <t>zhemchuzhnaya-9-pino-nuar-muskat-rozovyj-1</t>
        </is>
      </c>
      <c r="H52" t="inlineStr">
        <is>
          <t>zhemchuzhnaya-9-pino-nuar-muskat-rozovyj</t>
        </is>
      </c>
      <c r="I52" t="inlineStr">
        <is>
          <t>zhemchuzhnaya-9-muskat-rozovyj-pino-gri</t>
        </is>
      </c>
      <c r="J52" t="inlineStr">
        <is>
          <t>zhemchuzhnaya-9-pino-gri-pino-nuar</t>
        </is>
      </c>
      <c r="K52">
        <f>IF(C52="","",IFERROR(MATCH(C52,F52:J52,0),"нет"))</f>
        <v/>
      </c>
      <c r="L52">
        <f>IF(C52="","",IF(K52=1,1,0))</f>
        <v/>
      </c>
      <c r="M52">
        <f>IF(C52="","",IF(ISNUMBER(K52),1,0))</f>
        <v/>
      </c>
      <c r="N52" t="inlineStr">
        <is>
          <t>Жемчужная 9 Пино нуар, Мускат Розовый — АРАТТИ — Розовое полусладкое</t>
        </is>
      </c>
      <c r="O52" t="inlineStr">
        <is>
          <t>Жемчужная 9 Пино Нуар, Мускат розовый — АРАТТИ — Розовое полусухое</t>
        </is>
      </c>
      <c r="P52" t="inlineStr">
        <is>
          <t>Жемчужная 9 Пино Нуар, Мускат Розовый — АРАТТИ — Розовое сухое</t>
        </is>
      </c>
      <c r="Q52" t="inlineStr">
        <is>
          <t>Жемчужная 9 Мускат Розовый, Пино гри — АРАТТИ — Розовое сухое</t>
        </is>
      </c>
      <c r="R52" t="inlineStr">
        <is>
          <t>Жемчужная 9 Пино Гри, Пино Нуар — АРАТТИ — Розовое сухое</t>
        </is>
      </c>
      <c r="S52" s="3" t="n">
        <v>0.9820120334625244</v>
      </c>
      <c r="T52" s="3" t="n">
        <v>1.822016741925836e-07</v>
      </c>
      <c r="U52" t="n">
        <v>623.4</v>
      </c>
    </row>
    <row r="53">
      <c r="A53" t="inlineStr">
        <is>
          <t>95.63_24-08-2026_17-47-43.webp</t>
        </is>
      </c>
      <c r="B53" t="inlineStr">
        <is>
          <t>уверенно</t>
        </is>
      </c>
      <c r="C53" t="inlineStr">
        <is>
          <t>rubin-golodrigi</t>
        </is>
      </c>
      <c r="D53" t="inlineStr">
        <is>
          <t>Рубин Голодриги  — Табия — Красное сухое</t>
        </is>
      </c>
      <c r="F53" t="inlineStr">
        <is>
          <t>rubin-golodrigi</t>
        </is>
      </c>
      <c r="G53" t="inlineStr">
        <is>
          <t>kaberne-sovinon-2</t>
        </is>
      </c>
      <c r="H53" t="inlineStr">
        <is>
          <t>bukovinka</t>
        </is>
      </c>
      <c r="I53" t="inlineStr">
        <is>
          <t>roze-2</t>
        </is>
      </c>
      <c r="J53" t="inlineStr">
        <is>
          <t>rozovoe-zoloto</t>
        </is>
      </c>
      <c r="K53">
        <f>IF(C53="","",IFERROR(MATCH(C53,F53:J53,0),"нет"))</f>
        <v/>
      </c>
      <c r="L53">
        <f>IF(C53="","",IF(K53=1,1,0))</f>
        <v/>
      </c>
      <c r="M53">
        <f>IF(C53="","",IF(ISNUMBER(K53),1,0))</f>
        <v/>
      </c>
      <c r="N53" t="inlineStr">
        <is>
          <t>Рубин Голодриги  — Табия — Красное сухое</t>
        </is>
      </c>
      <c r="O53" t="inlineStr">
        <is>
          <t>Каберне Совиньон — Табия — Красное сухое</t>
        </is>
      </c>
      <c r="P53" t="inlineStr">
        <is>
          <t>Буковинка — Табия — Белое полусухое</t>
        </is>
      </c>
      <c r="Q53" t="inlineStr">
        <is>
          <t>Розе — Табия — Розовое сухое</t>
        </is>
      </c>
      <c r="R53" t="inlineStr">
        <is>
          <t>Розовое золото — Табия — Розовое полусухое</t>
        </is>
      </c>
      <c r="S53" s="3" t="n">
        <v>0.9999998807907104</v>
      </c>
      <c r="T53" s="3" t="n">
        <v>2.845334456935689e-08</v>
      </c>
      <c r="U53" t="n">
        <v>595.1</v>
      </c>
    </row>
    <row r="54">
      <c r="A54" t="inlineStr">
        <is>
          <t>95.75_02-09-2026_14-47-49.webp</t>
        </is>
      </c>
      <c r="B54" t="inlineStr">
        <is>
          <t>уверенно</t>
        </is>
      </c>
      <c r="C54" t="inlineStr">
        <is>
          <t>uva-vallis-risling</t>
        </is>
      </c>
      <c r="D54" t="inlineStr">
        <is>
          <t>Uva Vallis Рислинг — Uva Vallis — Красное сухое</t>
        </is>
      </c>
      <c r="F54" t="inlineStr">
        <is>
          <t>uva-vallis-risling</t>
        </is>
      </c>
      <c r="G54" t="inlineStr">
        <is>
          <t>uva-vallis-shardone</t>
        </is>
      </c>
      <c r="H54" t="inlineStr">
        <is>
          <t>uva-vallis-sovinon-blan</t>
        </is>
      </c>
      <c r="I54" t="inlineStr">
        <is>
          <t>uva-vallis-sira</t>
        </is>
      </c>
      <c r="J54" t="inlineStr">
        <is>
          <t>alma-valley-risling-beloe-polusuhoe-125</t>
        </is>
      </c>
      <c r="K54">
        <f>IF(C54="","",IFERROR(MATCH(C54,F54:J54,0),"нет"))</f>
        <v/>
      </c>
      <c r="L54">
        <f>IF(C54="","",IF(K54=1,1,0))</f>
        <v/>
      </c>
      <c r="M54">
        <f>IF(C54="","",IF(ISNUMBER(K54),1,0))</f>
        <v/>
      </c>
      <c r="N54" t="inlineStr">
        <is>
          <t>Uva Vallis Рислинг — Uva Vallis — Красное сухое</t>
        </is>
      </c>
      <c r="O54" t="inlineStr">
        <is>
          <t>Uva Vallis Шардоне — Uva Vallis — Белое сухое</t>
        </is>
      </c>
      <c r="P54" t="inlineStr">
        <is>
          <t>Uva Vallis Совиньон Блан — Uva Vallis — Белое сухое</t>
        </is>
      </c>
      <c r="Q54" t="inlineStr">
        <is>
          <t>Uva Vallis Сира — Uva Vallis — Красное сухое</t>
        </is>
      </c>
      <c r="R54" t="inlineStr">
        <is>
          <t>Рислинг — Alma Valley — Белое полусухое</t>
        </is>
      </c>
      <c r="S54" s="3" t="n">
        <v>0.9999996423721313</v>
      </c>
      <c r="T54" s="3" t="n">
        <v>2.699577521525498e-07</v>
      </c>
      <c r="U54" t="n">
        <v>632.6</v>
      </c>
    </row>
    <row r="55">
      <c r="A55" t="inlineStr">
        <is>
          <t>95.76_23-08-2026_18-19-43.webp</t>
        </is>
      </c>
      <c r="B55" t="inlineStr">
        <is>
          <t>уверенно</t>
        </is>
      </c>
      <c r="C55" t="inlineStr">
        <is>
          <t>denisov_barynya_kurmyshi</t>
        </is>
      </c>
      <c r="D55" t="inlineStr">
        <is>
          <t>Барыня. Курмыши — Denisov Winery — Розовое сухое</t>
        </is>
      </c>
      <c r="F55" t="inlineStr">
        <is>
          <t>denisov_barynya_kurmyshi</t>
        </is>
      </c>
      <c r="G55" t="inlineStr">
        <is>
          <t>denisov_pereplyas_kurmyshi</t>
        </is>
      </c>
      <c r="H55" t="inlineStr">
        <is>
          <t>denisov-winery-assamblyazh-rubin-golodrigi-rozovoe-suhoe-12</t>
        </is>
      </c>
      <c r="I55" t="inlineStr">
        <is>
          <t>denisov_pino_noir_klaret</t>
        </is>
      </c>
      <c r="J55" t="inlineStr">
        <is>
          <t>belbek-kokur-kokur-belyy-beloe-suhoe-13</t>
        </is>
      </c>
      <c r="K55">
        <f>IF(C55="","",IFERROR(MATCH(C55,F55:J55,0),"нет"))</f>
        <v/>
      </c>
      <c r="L55">
        <f>IF(C55="","",IF(K55=1,1,0))</f>
        <v/>
      </c>
      <c r="M55">
        <f>IF(C55="","",IF(ISNUMBER(K55),1,0))</f>
        <v/>
      </c>
      <c r="N55" t="inlineStr">
        <is>
          <t>Барыня. Курмыши — Denisov Winery — Розовое сухое</t>
        </is>
      </c>
      <c r="O55" t="inlineStr">
        <is>
          <t>Перепляс. Курмыши — Denisov Winery — Розовое сухое</t>
        </is>
      </c>
      <c r="P55" t="inlineStr">
        <is>
          <t>Ассамбляж — Denisov Winery — Розовое сухое</t>
        </is>
      </c>
      <c r="Q55" t="inlineStr">
        <is>
          <t>Пино Нуар кларет. Красная стрелка — Denisov Winery — Розовое сухое</t>
        </is>
      </c>
      <c r="R55" t="inlineStr">
        <is>
          <t>Кокур — Бельбек — Белое сухое</t>
        </is>
      </c>
      <c r="S55" s="3" t="n">
        <v>0.9999954700469971</v>
      </c>
      <c r="T55" s="3" t="n">
        <v>6.475922873505624e-07</v>
      </c>
      <c r="U55" t="n">
        <v>811</v>
      </c>
    </row>
    <row r="56">
      <c r="A56" t="inlineStr">
        <is>
          <t>95.88_02-09-2026_14-41-59.webp</t>
        </is>
      </c>
      <c r="B56" t="inlineStr">
        <is>
          <t>уверенно</t>
        </is>
      </c>
      <c r="C56" t="inlineStr">
        <is>
          <t>fanagoriya-zelyonoe-vino-risling-tsitronnyy-magaracha-beloe-polusuhoe-11</t>
        </is>
      </c>
      <c r="D56" t="inlineStr">
        <is>
          <t>Зелёное вино. Рислинг - Цитронный Магарача — Фанагория — Белое полусухое</t>
        </is>
      </c>
      <c r="F56" t="inlineStr">
        <is>
          <t>fanagoriya-zelyonoe-vino-risling-tsitronnyy-magaracha-beloe-polusuhoe-11</t>
        </is>
      </c>
      <c r="G56" t="inlineStr">
        <is>
          <t>fanagoriya-zelyonoe-vino-risling-tsitronnyy-magaracha-merlo-rozovoe-polusuhoe-11</t>
        </is>
      </c>
      <c r="H56" t="inlineStr">
        <is>
          <t>rozovoe-polusladkoe</t>
        </is>
      </c>
      <c r="I56" t="inlineStr">
        <is>
          <t>fanagoriya-beloe-polusladkoe</t>
        </is>
      </c>
      <c r="J56" t="inlineStr">
        <is>
          <t>fanagoriya-ice-wine-risling-tihoe-beloe-sladkoe-10</t>
        </is>
      </c>
      <c r="K56">
        <f>IF(C56="","",IFERROR(MATCH(C56,F56:J56,0),"нет"))</f>
        <v/>
      </c>
      <c r="L56">
        <f>IF(C56="","",IF(K56=1,1,0))</f>
        <v/>
      </c>
      <c r="M56">
        <f>IF(C56="","",IF(ISNUMBER(K56),1,0))</f>
        <v/>
      </c>
      <c r="N56" t="inlineStr">
        <is>
          <t>Зелёное вино. Рислинг - Цитронный Магарача — Фанагория — Белое полусухое</t>
        </is>
      </c>
      <c r="O56" t="inlineStr">
        <is>
          <t>Зелёное вино. Рислинг - Цитронный Магарача - Мерло — Фанагория — Розовое полусухое</t>
        </is>
      </c>
      <c r="P56" t="inlineStr">
        <is>
          <t>Розовое полусладкое — Фанагория — Розовое полусладкое</t>
        </is>
      </c>
      <c r="Q56" t="inlineStr">
        <is>
          <t>Фанагория белое полусладкое — Фанагория — Белое полусладкое</t>
        </is>
      </c>
      <c r="R56" t="inlineStr">
        <is>
          <t>Ice Wine Рислинг тихое — Фанагория — Белое сладкое</t>
        </is>
      </c>
      <c r="S56" s="3" t="n">
        <v>0.9999997615814209</v>
      </c>
      <c r="T56" s="3" t="n">
        <v>1.275190300020768e-07</v>
      </c>
      <c r="U56" t="n">
        <v>798.8</v>
      </c>
    </row>
    <row r="57">
      <c r="A57" t="inlineStr">
        <is>
          <t>95.8_19-08-2026_19-33-23.webp</t>
        </is>
      </c>
      <c r="B57" t="inlineStr">
        <is>
          <t>уверенно</t>
        </is>
      </c>
      <c r="C57" t="inlineStr">
        <is>
          <t>roze-2</t>
        </is>
      </c>
      <c r="D57" t="inlineStr">
        <is>
          <t>Розе — Табия — Розовое сухое</t>
        </is>
      </c>
      <c r="F57" t="inlineStr">
        <is>
          <t>roze-2</t>
        </is>
      </c>
      <c r="G57" t="inlineStr">
        <is>
          <t>bukovinka</t>
        </is>
      </c>
      <c r="H57" t="inlineStr">
        <is>
          <t>rozovoe-zoloto</t>
        </is>
      </c>
      <c r="I57" t="inlineStr">
        <is>
          <t>rubin-golodrigi</t>
        </is>
      </c>
      <c r="J57" t="inlineStr">
        <is>
          <t>oleg</t>
        </is>
      </c>
      <c r="K57">
        <f>IF(C57="","",IFERROR(MATCH(C57,F57:J57,0),"нет"))</f>
        <v/>
      </c>
      <c r="L57">
        <f>IF(C57="","",IF(K57=1,1,0))</f>
        <v/>
      </c>
      <c r="M57">
        <f>IF(C57="","",IF(ISNUMBER(K57),1,0))</f>
        <v/>
      </c>
      <c r="N57" t="inlineStr">
        <is>
          <t>Розе — Табия — Розовое сухое</t>
        </is>
      </c>
      <c r="O57" t="inlineStr">
        <is>
          <t>Буковинка — Табия — Белое полусухое</t>
        </is>
      </c>
      <c r="P57" t="inlineStr">
        <is>
          <t>Розовое золото — Табия — Розовое полусухое</t>
        </is>
      </c>
      <c r="Q57" t="inlineStr">
        <is>
          <t>Рубин Голодриги  — Табия — Красное сухое</t>
        </is>
      </c>
      <c r="R57" t="inlineStr">
        <is>
          <t>Олег — Табия — Белое сухое</t>
        </is>
      </c>
      <c r="S57" s="3" t="n">
        <v>0.999998927116394</v>
      </c>
      <c r="T57" s="3" t="n">
        <v>7.338207410612085e-07</v>
      </c>
      <c r="U57" t="n">
        <v>557.7</v>
      </c>
    </row>
    <row r="58">
      <c r="A58" t="inlineStr">
        <is>
          <t>95.8_19-08-2026_20-47-59.webp</t>
        </is>
      </c>
      <c r="B58" t="inlineStr">
        <is>
          <t>не уверен</t>
        </is>
      </c>
      <c r="C58" t="inlineStr">
        <is>
          <t>denisov-winery-sovinon-blan-beloe-suhoe-115</t>
        </is>
      </c>
      <c r="D58" t="inlineStr">
        <is>
          <t>Совиньон Блан — Denisov Winery — Белое сухое</t>
        </is>
      </c>
      <c r="E58" t="inlineStr">
        <is>
          <t>этикетка по цвету другая</t>
        </is>
      </c>
      <c r="F58" t="inlineStr">
        <is>
          <t>denisov-winery-sovinon-blan-beloe-suhoe-115</t>
        </is>
      </c>
      <c r="G58" t="inlineStr">
        <is>
          <t>sovinon-blan-krasnaya-gorka</t>
        </is>
      </c>
      <c r="H58" t="inlineStr">
        <is>
          <t>dubinin-winery-sovinon-blan-beloe-suhoe-12</t>
        </is>
      </c>
      <c r="I58" t="inlineStr">
        <is>
          <t>sovinon-blan</t>
        </is>
      </c>
      <c r="J58" t="inlineStr">
        <is>
          <t>blagolyubov-sovinon-blan-beloe-suhoe-125</t>
        </is>
      </c>
      <c r="K58">
        <f>IF(C58="","",IFERROR(MATCH(C58,F58:J58,0),"нет"))</f>
        <v/>
      </c>
      <c r="L58">
        <f>IF(C58="","",IF(K58=1,1,0))</f>
        <v/>
      </c>
      <c r="M58">
        <f>IF(C58="","",IF(ISNUMBER(K58),1,0))</f>
        <v/>
      </c>
      <c r="N58" t="inlineStr">
        <is>
          <t>Совиньон Блан — Denisov Winery — Белое сухое</t>
        </is>
      </c>
      <c r="O58" t="inlineStr">
        <is>
          <t>Совиньон Блан — Галицкий и Галицкий — Белое сухое</t>
        </is>
      </c>
      <c r="P58" t="inlineStr">
        <is>
          <t>Совиньон Блан — Dubinin Winery — Белое сухое</t>
        </is>
      </c>
      <c r="Q58" t="inlineStr">
        <is>
          <t>Совиньон Блан — Литавщук. Litavshchuk vineyards &amp; winery — Белое полусладкое</t>
        </is>
      </c>
      <c r="R58" t="inlineStr">
        <is>
          <t>Совиньон Блан — Благолюбов — Белое сухое</t>
        </is>
      </c>
      <c r="S58" s="3" t="n">
        <v>0.9999837875366211</v>
      </c>
      <c r="T58" s="3" t="n">
        <v>4.785039891430642e-06</v>
      </c>
      <c r="U58" t="n">
        <v>822.6</v>
      </c>
    </row>
    <row r="59">
      <c r="A59" t="inlineStr">
        <is>
          <t>96.05_28-08-2026_09-14-57.webp</t>
        </is>
      </c>
      <c r="B59" t="inlineStr">
        <is>
          <t>нет в каталоге</t>
        </is>
      </c>
      <c r="F59" t="inlineStr">
        <is>
          <t>usadba-divnomorskoe-solist-marselan-rozovoe-suhoe-115</t>
        </is>
      </c>
      <c r="G59" t="inlineStr">
        <is>
          <t>usadba-divnomorskoe-yuzhnyy-les-merlo-krasnoe-suhoe-137</t>
        </is>
      </c>
      <c r="H59" t="inlineStr">
        <is>
          <t>usadba-divnomorskoe-holodnyy-tuman-risling-beloe-suhoe-115</t>
        </is>
      </c>
      <c r="I59" t="inlineStr">
        <is>
          <t>usadba-divnomorskoe-solnechnyy-veter-shardone-beloe-suhoe-125</t>
        </is>
      </c>
      <c r="J59" t="inlineStr">
        <is>
          <t>vinodelnya-vedernikov-vedernikov-krasnostop-zolotovskiy-magnum-krasnoe-suhoe-145</t>
        </is>
      </c>
      <c r="K59">
        <f>IF(C59="","",IFERROR(MATCH(C59,F59:J59,0),"нет"))</f>
        <v/>
      </c>
      <c r="L59">
        <f>IF(C59="","",IF(K59=1,1,0))</f>
        <v/>
      </c>
      <c r="M59">
        <f>IF(C59="","",IF(ISNUMBER(K59),1,0))</f>
        <v/>
      </c>
      <c r="N59" t="inlineStr">
        <is>
          <t>Солист — Усадьба Дивноморское — Розовое сухое</t>
        </is>
      </c>
      <c r="O59" t="inlineStr">
        <is>
          <t>Южный Лес — Усадьба Дивноморское — Красное сухое</t>
        </is>
      </c>
      <c r="P59" t="inlineStr">
        <is>
          <t>Холодный Туман — Усадьба Дивноморское — Белое сухое</t>
        </is>
      </c>
      <c r="Q59" t="inlineStr">
        <is>
          <t>Солнечный Ветер — Усадьба Дивноморское — Белое сухое</t>
        </is>
      </c>
      <c r="R59" t="inlineStr">
        <is>
          <t>Ведерниковъ Красностоп Золотовский (магнум) — Ведерниковъ — Красное сухое</t>
        </is>
      </c>
      <c r="S59" s="3" t="n">
        <v>0.7255887389183044</v>
      </c>
      <c r="T59" s="3" t="n">
        <v>0.003360142698511481</v>
      </c>
      <c r="U59" t="n">
        <v>1092.1</v>
      </c>
    </row>
    <row r="60">
      <c r="A60" t="inlineStr">
        <is>
          <t>96.07_28-08-2026_16-10-06.webp</t>
        </is>
      </c>
      <c r="B60" t="inlineStr">
        <is>
          <t>уверенно</t>
        </is>
      </c>
      <c r="C60" t="inlineStr">
        <is>
          <t>golubitskoe-estate-kaberne-sovinon-krasnoe-suhoe-137</t>
        </is>
      </c>
      <c r="D60" t="inlineStr">
        <is>
          <t>Каберне Совиньон — Golubitskoe Estate — Красное сухое</t>
        </is>
      </c>
      <c r="F60" t="inlineStr">
        <is>
          <t>golubitskoe-estate-kaberne-sovinon-krasnoe-suhoe-137</t>
        </is>
      </c>
      <c r="G60" t="inlineStr">
        <is>
          <t>golubitskoe-estate-red-blend-kaberne-sovinon-krasnoe-suhoe-136</t>
        </is>
      </c>
      <c r="H60" t="inlineStr">
        <is>
          <t>golubitskoe-estate-kaberne-sovinon-rezerv-krasnoe-suhoe-125</t>
        </is>
      </c>
      <c r="I60" t="inlineStr">
        <is>
          <t>pomeste-golubitskoe-kaberne-sovinon-rezerv-krasnoe-suhoe-143</t>
        </is>
      </c>
      <c r="J60" t="inlineStr">
        <is>
          <t>golubitskoe-estate-sovinon-blan-beloe-suhoe-11</t>
        </is>
      </c>
      <c r="K60">
        <f>IF(C60="","",IFERROR(MATCH(C60,F60:J60,0),"нет"))</f>
        <v/>
      </c>
      <c r="L60">
        <f>IF(C60="","",IF(K60=1,1,0))</f>
        <v/>
      </c>
      <c r="M60">
        <f>IF(C60="","",IF(ISNUMBER(K60),1,0))</f>
        <v/>
      </c>
      <c r="N60" t="inlineStr">
        <is>
          <t>Каберне Совиньон — Golubitskoe Estate — Красное сухое</t>
        </is>
      </c>
      <c r="O60" t="inlineStr">
        <is>
          <t>Red Blend — Golubitskoe Estate — Красное сухое</t>
        </is>
      </c>
      <c r="P60" t="inlineStr">
        <is>
          <t>Каберне Совиньон Резерв — Golubitskoe Estate — Красное сухое</t>
        </is>
      </c>
      <c r="Q60" t="inlineStr">
        <is>
          <t>Каберне Совиньон Резерв — Golubitskoe Estate — Красное сухое</t>
        </is>
      </c>
      <c r="R60" t="inlineStr">
        <is>
          <t>Совиньон Блан — Golubitskoe Estate — Белое сухое</t>
        </is>
      </c>
      <c r="S60" s="3" t="n">
        <v>0.9999966621398926</v>
      </c>
      <c r="T60" s="3" t="n">
        <v>1.760340410328354e-06</v>
      </c>
      <c r="U60" t="n">
        <v>691.4</v>
      </c>
    </row>
    <row r="61">
      <c r="A61" t="inlineStr">
        <is>
          <t>96.08_22-08-2026_15-12-27.webp</t>
        </is>
      </c>
      <c r="B61" t="inlineStr">
        <is>
          <t>уверенно</t>
        </is>
      </c>
      <c r="C61" t="inlineStr">
        <is>
          <t>zhemchuzhnaya-9-czitron-shardone-1</t>
        </is>
      </c>
      <c r="D61" t="inlineStr">
        <is>
          <t>Жемчужная 9 Цитрон, Шардоне — АРАТТИ — Белое полусладкое</t>
        </is>
      </c>
      <c r="F61" t="inlineStr">
        <is>
          <t>zhemchuzhnaya-9-czitron-shardone-1</t>
        </is>
      </c>
      <c r="G61" t="inlineStr">
        <is>
          <t>czitronnyj-magaracha-sovinon-blan</t>
        </is>
      </c>
      <c r="H61" t="inlineStr">
        <is>
          <t>zhemchuzhnaya-9-aligote-czitron</t>
        </is>
      </c>
      <c r="I61" t="inlineStr">
        <is>
          <t>zhemchuzhnaya-9-czitron-shardone</t>
        </is>
      </c>
      <c r="J61" t="inlineStr">
        <is>
          <t>zhemchuzhnaya-9-sovinon-blan-aligote</t>
        </is>
      </c>
      <c r="K61">
        <f>IF(C61="","",IFERROR(MATCH(C61,F61:J61,0),"нет"))</f>
        <v/>
      </c>
      <c r="L61">
        <f>IF(C61="","",IF(K61=1,1,0))</f>
        <v/>
      </c>
      <c r="M61">
        <f>IF(C61="","",IF(ISNUMBER(K61),1,0))</f>
        <v/>
      </c>
      <c r="N61" t="inlineStr">
        <is>
          <t>Жемчужная 9 Цитрон, Шардоне — АРАТТИ — Белое полусладкое</t>
        </is>
      </c>
      <c r="O61" t="inlineStr">
        <is>
          <t>Жемчужная 9 Цитрон, Совиньон блан — АРАТТИ — Белое полусухое</t>
        </is>
      </c>
      <c r="P61" t="inlineStr">
        <is>
          <t>Жемчужная 9 Алиготе, Цитрон — АРАТТИ — Белое сухое</t>
        </is>
      </c>
      <c r="Q61" t="inlineStr">
        <is>
          <t>Жемчужная 9 Цитрон, Шардоне — АРАТТИ — Белое сухое</t>
        </is>
      </c>
      <c r="R61" t="inlineStr">
        <is>
          <t>Жемчужная 9 Совиньон блан, Алиготе — АРАТТИ — Белое сухое</t>
        </is>
      </c>
      <c r="S61" s="3" t="n">
        <v>0.9999978542327881</v>
      </c>
      <c r="T61" s="3" t="n">
        <v>1.275187884175466e-07</v>
      </c>
      <c r="U61" t="n">
        <v>616.4</v>
      </c>
    </row>
    <row r="62">
      <c r="A62" t="inlineStr">
        <is>
          <t>96.08_28-08-2026_16-29-50.webp</t>
        </is>
      </c>
      <c r="B62" t="inlineStr">
        <is>
          <t>уверенно</t>
        </is>
      </c>
      <c r="C62" t="inlineStr">
        <is>
          <t>golubitskoe-estate-merlo-krasnoe-suhoe-135</t>
        </is>
      </c>
      <c r="D62" t="inlineStr">
        <is>
          <t>Мерло — Golubitskoe Estate — Красное сухое</t>
        </is>
      </c>
      <c r="F62" t="inlineStr">
        <is>
          <t>golubitskoe-estate-merlo-krasnoe-suhoe-135</t>
        </is>
      </c>
      <c r="G62" t="inlineStr">
        <is>
          <t>golubitskoe-estate-merlo-rezerv-krasnoe-suhoe-135</t>
        </is>
      </c>
      <c r="H62" t="inlineStr">
        <is>
          <t>golubitskoe-estate-red-blend-kaberne-sovinon-krasnoe-suhoe-136</t>
        </is>
      </c>
      <c r="I62" t="inlineStr">
        <is>
          <t>golubitskoe-estate-pino-nuar-rezerv-krasnoe-suhoe-132</t>
        </is>
      </c>
      <c r="J62" t="inlineStr">
        <is>
          <t>golubitskoe-rose</t>
        </is>
      </c>
      <c r="K62">
        <f>IF(C62="","",IFERROR(MATCH(C62,F62:J62,0),"нет"))</f>
        <v/>
      </c>
      <c r="L62">
        <f>IF(C62="","",IF(K62=1,1,0))</f>
        <v/>
      </c>
      <c r="M62">
        <f>IF(C62="","",IF(ISNUMBER(K62),1,0))</f>
        <v/>
      </c>
      <c r="N62" t="inlineStr">
        <is>
          <t>Мерло — Golubitskoe Estate — Красное сухое</t>
        </is>
      </c>
      <c r="O62" t="inlineStr">
        <is>
          <t>Мерло Резерв — Golubitskoe Estate — Красное сухое</t>
        </is>
      </c>
      <c r="P62" t="inlineStr">
        <is>
          <t>Red Blend — Golubitskoe Estate — Красное сухое</t>
        </is>
      </c>
      <c r="Q62" t="inlineStr">
        <is>
          <t>Пино Нуар Резерв — Golubitskoe Estate — Красное сухое</t>
        </is>
      </c>
      <c r="R62" t="inlineStr">
        <is>
          <t>Golubitskoe Rose — Поместье Голубицкое — Розовое сухое</t>
        </is>
      </c>
      <c r="S62" s="3" t="n">
        <v>0.9999997615814209</v>
      </c>
      <c r="T62" s="3" t="n">
        <v>1.444980028963982e-07</v>
      </c>
      <c r="U62" t="n">
        <v>545.3</v>
      </c>
    </row>
    <row r="63">
      <c r="A63" t="inlineStr">
        <is>
          <t>96.11_22-08-2026_21-29-20.webp</t>
        </is>
      </c>
      <c r="B63" t="inlineStr">
        <is>
          <t>нет в каталоге</t>
        </is>
      </c>
      <c r="F63" t="inlineStr">
        <is>
          <t>abrau-dyurso-imperatorskoe-bryut-shardone-beloe-12</t>
        </is>
      </c>
      <c r="G63" t="inlineStr">
        <is>
          <t>aristov-anima-millesimato-beloe-bryut</t>
        </is>
      </c>
      <c r="H63" t="inlineStr">
        <is>
          <t>abrau-dyurso-udelnoe-vedomstvo-imperatorskoe-beloe-bryut</t>
        </is>
      </c>
      <c r="I63" t="inlineStr">
        <is>
          <t>abrau-dyurso-imperial-brut-vintage-shardone-beloe-bryut-12</t>
        </is>
      </c>
      <c r="J63" t="inlineStr">
        <is>
          <t>aristov-anima-pinot-grigio-blush</t>
        </is>
      </c>
      <c r="K63">
        <f>IF(C63="","",IFERROR(MATCH(C63,F63:J63,0),"нет"))</f>
        <v/>
      </c>
      <c r="L63">
        <f>IF(C63="","",IF(K63=1,1,0))</f>
        <v/>
      </c>
      <c r="M63">
        <f>IF(C63="","",IF(ISNUMBER(K63),1,0))</f>
        <v/>
      </c>
      <c r="N63" t="inlineStr">
        <is>
          <t>Императорское брют — Абрау-Дюрсо — Белое брют</t>
        </is>
      </c>
      <c r="O63" t="inlineStr">
        <is>
          <t>Аристов ANIMA Millesimato белое брют — Кубань-Вино — Белое брют</t>
        </is>
      </c>
      <c r="P63" t="inlineStr">
        <is>
          <t>Абрау Дюрсо Удельное Ведомство Императорское белое брют — Абрау-Дюрсо — Белое брют</t>
        </is>
      </c>
      <c r="Q63" t="inlineStr">
        <is>
          <t>Империал. Brut Vintage — Абрау-Дюрсо — Белое брют</t>
        </is>
      </c>
      <c r="R63" t="inlineStr">
        <is>
          <t>Аристов Anima Pinot Grigio Blush — Кубань-Вино — Розовое брют</t>
        </is>
      </c>
      <c r="S63" s="3" t="n">
        <v>0.9933695197105408</v>
      </c>
      <c r="T63" s="3" t="n">
        <v>0.002790170721709728</v>
      </c>
      <c r="U63" t="n">
        <v>772.2</v>
      </c>
    </row>
    <row r="64">
      <c r="A64" t="inlineStr">
        <is>
          <t>96.13_19-08-2026_19-33-10.webp</t>
        </is>
      </c>
      <c r="B64" t="inlineStr">
        <is>
          <t>уверенно</t>
        </is>
      </c>
      <c r="C64" t="inlineStr">
        <is>
          <t>roze-2</t>
        </is>
      </c>
      <c r="D64" t="inlineStr">
        <is>
          <t>Розе — Табия — Розовое сухое</t>
        </is>
      </c>
      <c r="F64" t="inlineStr">
        <is>
          <t>roze-2</t>
        </is>
      </c>
      <c r="G64" t="inlineStr">
        <is>
          <t>rozovoe-zoloto</t>
        </is>
      </c>
      <c r="H64" t="inlineStr">
        <is>
          <t>oleg</t>
        </is>
      </c>
      <c r="I64" t="inlineStr">
        <is>
          <t>bukovinka</t>
        </is>
      </c>
      <c r="J64" t="inlineStr">
        <is>
          <t>rubin-golodrigi</t>
        </is>
      </c>
      <c r="K64">
        <f>IF(C64="","",IFERROR(MATCH(C64,F64:J64,0),"нет"))</f>
        <v/>
      </c>
      <c r="L64">
        <f>IF(C64="","",IF(K64=1,1,0))</f>
        <v/>
      </c>
      <c r="M64">
        <f>IF(C64="","",IF(ISNUMBER(K64),1,0))</f>
        <v/>
      </c>
      <c r="N64" t="inlineStr">
        <is>
          <t>Розе — Табия — Розовое сухое</t>
        </is>
      </c>
      <c r="O64" t="inlineStr">
        <is>
          <t>Розовое золото — Табия — Розовое полусухое</t>
        </is>
      </c>
      <c r="P64" t="inlineStr">
        <is>
          <t>Олег — Табия — Белое сухое</t>
        </is>
      </c>
      <c r="Q64" t="inlineStr">
        <is>
          <t>Буковинка — Табия — Белое полусухое</t>
        </is>
      </c>
      <c r="R64" t="inlineStr">
        <is>
          <t>Рубин Голодриги  — Табия — Красное сухое</t>
        </is>
      </c>
      <c r="S64" s="3" t="n">
        <v>0.9999986886978149</v>
      </c>
      <c r="T64" s="3" t="n">
        <v>2.382366517394985e-07</v>
      </c>
      <c r="U64" t="n">
        <v>471.9</v>
      </c>
    </row>
    <row r="65">
      <c r="A65" t="inlineStr">
        <is>
          <t>96.15_22-08-2026_20-56-09.webp</t>
        </is>
      </c>
      <c r="B65" t="inlineStr">
        <is>
          <t>уверенно</t>
        </is>
      </c>
      <c r="C65" t="inlineStr">
        <is>
          <t>roze-2</t>
        </is>
      </c>
      <c r="D65" t="inlineStr">
        <is>
          <t>Розе — Табия — Розовое сухое</t>
        </is>
      </c>
      <c r="F65" t="inlineStr">
        <is>
          <t>roze-2</t>
        </is>
      </c>
      <c r="G65" t="inlineStr">
        <is>
          <t>rozovoe-zoloto</t>
        </is>
      </c>
      <c r="H65" t="inlineStr">
        <is>
          <t>bukovinka</t>
        </is>
      </c>
      <c r="I65" t="inlineStr">
        <is>
          <t>rubin-golodrigi</t>
        </is>
      </c>
      <c r="J65" t="inlineStr">
        <is>
          <t>oleg</t>
        </is>
      </c>
      <c r="K65">
        <f>IF(C65="","",IFERROR(MATCH(C65,F65:J65,0),"нет"))</f>
        <v/>
      </c>
      <c r="L65">
        <f>IF(C65="","",IF(K65=1,1,0))</f>
        <v/>
      </c>
      <c r="M65">
        <f>IF(C65="","",IF(ISNUMBER(K65),1,0))</f>
        <v/>
      </c>
      <c r="N65" t="inlineStr">
        <is>
          <t>Розе — Табия — Розовое сухое</t>
        </is>
      </c>
      <c r="O65" t="inlineStr">
        <is>
          <t>Розовое золото — Табия — Розовое полусухое</t>
        </is>
      </c>
      <c r="P65" t="inlineStr">
        <is>
          <t>Буковинка — Табия — Белое полусухое</t>
        </is>
      </c>
      <c r="Q65" t="inlineStr">
        <is>
          <t>Рубин Голодриги  — Табия — Красное сухое</t>
        </is>
      </c>
      <c r="R65" t="inlineStr">
        <is>
          <t>Олег — Табия — Белое сухое</t>
        </is>
      </c>
      <c r="S65" s="3" t="n">
        <v>0.9999955892562866</v>
      </c>
      <c r="T65" s="3" t="n">
        <v>1.067699372470088e-06</v>
      </c>
      <c r="U65" t="n">
        <v>484.2</v>
      </c>
    </row>
    <row r="66">
      <c r="A66" t="inlineStr">
        <is>
          <t>96.27_20-08-2026_16-26-30.webp</t>
        </is>
      </c>
      <c r="B66" t="inlineStr">
        <is>
          <t>уверенно</t>
        </is>
      </c>
      <c r="C66" t="inlineStr">
        <is>
          <t>zhemchuzhnaya-9-pino-nuar-muskat-rozovyj-1</t>
        </is>
      </c>
      <c r="D66" t="inlineStr">
        <is>
          <t>Жемчужная 9 Пино Нуар, Мускат розовый — АРАТТИ — Розовое полусухое</t>
        </is>
      </c>
      <c r="F66" t="inlineStr">
        <is>
          <t>zhemchuzhnaya-9-pino-nuar-muskat-rozovyj-1</t>
        </is>
      </c>
      <c r="G66" t="inlineStr">
        <is>
          <t>zhemchuzhnaya-9-pino-nuar-muskat-rozovyj</t>
        </is>
      </c>
      <c r="H66" t="inlineStr">
        <is>
          <t>zhemchuzhnaya-9-pino-nuar-muskat-rozovyj-2</t>
        </is>
      </c>
      <c r="I66" t="inlineStr">
        <is>
          <t>zhemchuzhnaya-9-muskat-rozovyj-pino-gri</t>
        </is>
      </c>
      <c r="J66" t="inlineStr">
        <is>
          <t>zhemchuzhnaya-9-muskat-rozovyj-kaberne-sovinon</t>
        </is>
      </c>
      <c r="K66">
        <f>IF(C66="","",IFERROR(MATCH(C66,F66:J66,0),"нет"))</f>
        <v/>
      </c>
      <c r="L66">
        <f>IF(C66="","",IF(K66=1,1,0))</f>
        <v/>
      </c>
      <c r="M66">
        <f>IF(C66="","",IF(ISNUMBER(K66),1,0))</f>
        <v/>
      </c>
      <c r="N66" t="inlineStr">
        <is>
          <t>Жемчужная 9 Пино Нуар, Мускат розовый — АРАТТИ — Розовое полусухое</t>
        </is>
      </c>
      <c r="O66" t="inlineStr">
        <is>
          <t>Жемчужная 9 Пино Нуар, Мускат Розовый — АРАТТИ — Розовое сухое</t>
        </is>
      </c>
      <c r="P66" t="inlineStr">
        <is>
          <t>Жемчужная 9 Пино нуар, Мускат Розовый — АРАТТИ — Розовое полусладкое</t>
        </is>
      </c>
      <c r="Q66" t="inlineStr">
        <is>
          <t>Жемчужная 9 Мускат Розовый, Пино гри — АРАТТИ — Розовое сухое</t>
        </is>
      </c>
      <c r="R66" t="inlineStr">
        <is>
          <t>Жемчужная 9 Мускат Розовый, Каберне Совиньон — АРАТТИ — Розовое полусладкое</t>
        </is>
      </c>
      <c r="S66" s="3" t="n">
        <v>0.9999996423721313</v>
      </c>
      <c r="T66" s="3" t="n">
        <v>5.315783724313405e-08</v>
      </c>
      <c r="U66" t="n">
        <v>634.7</v>
      </c>
    </row>
    <row r="67">
      <c r="A67" t="inlineStr">
        <is>
          <t>96.29_21-08-2026_19-39-02.webp</t>
        </is>
      </c>
      <c r="B67" t="inlineStr">
        <is>
          <t>не уверен</t>
        </is>
      </c>
      <c r="C67" t="inlineStr">
        <is>
          <t>denisov-winery-sovinon-blan-beloe-suhoe-115</t>
        </is>
      </c>
      <c r="D67" t="inlineStr">
        <is>
          <t>Совиньон Блан — Denisov Winery — Белое сухое</t>
        </is>
      </c>
      <c r="E67" t="inlineStr">
        <is>
          <t>этикетка немного другая. в slug черная, а на фото белая</t>
        </is>
      </c>
      <c r="F67" t="inlineStr">
        <is>
          <t>denisov-winery-sovinon-blan-beloe-suhoe-115</t>
        </is>
      </c>
      <c r="G67" t="inlineStr">
        <is>
          <t>dubinin-winery-sovinon-blan-beloe-suhoe-12</t>
        </is>
      </c>
      <c r="H67" t="inlineStr">
        <is>
          <t>zhemchuzhnaya-9-sovinon-blan-aligote</t>
        </is>
      </c>
      <c r="I67" t="inlineStr">
        <is>
          <t>blagolyubov-sovinon-blan-beloe-suhoe-125</t>
        </is>
      </c>
      <c r="J67" t="inlineStr">
        <is>
          <t>vinodelnya-myshako-sovinon-blan-avtorskaya-tehnologiya-mono-beloe-suhoe-128</t>
        </is>
      </c>
      <c r="K67">
        <f>IF(C67="","",IFERROR(MATCH(C67,F67:J67,0),"нет"))</f>
        <v/>
      </c>
      <c r="L67">
        <f>IF(C67="","",IF(K67=1,1,0))</f>
        <v/>
      </c>
      <c r="M67">
        <f>IF(C67="","",IF(ISNUMBER(K67),1,0))</f>
        <v/>
      </c>
      <c r="N67" t="inlineStr">
        <is>
          <t>Совиньон Блан — Denisov Winery — Белое сухое</t>
        </is>
      </c>
      <c r="O67" t="inlineStr">
        <is>
          <t>Совиньон Блан — Dubinin Winery — Белое сухое</t>
        </is>
      </c>
      <c r="P67" t="inlineStr">
        <is>
          <t>Жемчужная 9 Совиньон блан, Алиготе — АРАТТИ — Белое сухое</t>
        </is>
      </c>
      <c r="Q67" t="inlineStr">
        <is>
          <t>Совиньон Блан — Благолюбов — Белое сухое</t>
        </is>
      </c>
      <c r="R67" t="inlineStr">
        <is>
          <t>Совиньон Блан. Авторская технология. Моно — Мысхако — Белое сухое</t>
        </is>
      </c>
      <c r="S67" s="3" t="n">
        <v>0.9999998807907104</v>
      </c>
      <c r="T67" s="3" t="n">
        <v>9.931193289958173e-08</v>
      </c>
      <c r="U67" t="n">
        <v>588.8</v>
      </c>
    </row>
    <row r="68">
      <c r="A68" t="inlineStr">
        <is>
          <t>96.2_28-08-2026_09-13-27.webp</t>
        </is>
      </c>
      <c r="B68" t="inlineStr">
        <is>
          <t>нет в каталоге</t>
        </is>
      </c>
      <c r="F68" t="inlineStr">
        <is>
          <t>usadba-divnomorskoe-yuzhnyy-les-merlo-krasnoe-suhoe-137</t>
        </is>
      </c>
      <c r="G68" t="inlineStr">
        <is>
          <t>usadba-divnomorskoe-holodnyy-tuman-risling-beloe-suhoe-115</t>
        </is>
      </c>
      <c r="H68" t="inlineStr">
        <is>
          <t>usadba-divnomorskoe-solist-marselan-rozovoe-suhoe-115</t>
        </is>
      </c>
      <c r="I68" t="inlineStr">
        <is>
          <t>usadba-divnomorskoe-solnechnyy-veter-shardone-beloe-suhoe-125</t>
        </is>
      </c>
      <c r="J68" t="inlineStr">
        <is>
          <t>vinodelnya-vedernikov-vedernikov-tsimlyanskiy-chyornyy-tsimlyanskiy-chernyy-krasnoe-suhoe-14</t>
        </is>
      </c>
      <c r="K68">
        <f>IF(C68="","",IFERROR(MATCH(C68,F68:J68,0),"нет"))</f>
        <v/>
      </c>
      <c r="L68">
        <f>IF(C68="","",IF(K68=1,1,0))</f>
        <v/>
      </c>
      <c r="M68">
        <f>IF(C68="","",IF(ISNUMBER(K68),1,0))</f>
        <v/>
      </c>
      <c r="N68" t="inlineStr">
        <is>
          <t>Южный Лес — Усадьба Дивноморское — Красное сухое</t>
        </is>
      </c>
      <c r="O68" t="inlineStr">
        <is>
          <t>Холодный Туман — Усадьба Дивноморское — Белое сухое</t>
        </is>
      </c>
      <c r="P68" t="inlineStr">
        <is>
          <t>Солист — Усадьба Дивноморское — Розовое сухое</t>
        </is>
      </c>
      <c r="Q68" t="inlineStr">
        <is>
          <t>Солнечный Ветер — Усадьба Дивноморское — Белое сухое</t>
        </is>
      </c>
      <c r="R68" t="inlineStr">
        <is>
          <t>Ведерниковъ Цимлянский Чёрный — Ведерниковъ — Красное сухое</t>
        </is>
      </c>
      <c r="S68" s="3" t="n">
        <v>0.999775230884552</v>
      </c>
      <c r="T68" s="3" t="n">
        <v>0.000108884290966671</v>
      </c>
      <c r="U68" t="n">
        <v>1166</v>
      </c>
    </row>
    <row r="69">
      <c r="A69" t="inlineStr">
        <is>
          <t>96.2_28-08-2026_19-25-29.webp</t>
        </is>
      </c>
      <c r="B69" t="inlineStr">
        <is>
          <t>нет в каталоге</t>
        </is>
      </c>
      <c r="F69" t="inlineStr">
        <is>
          <t>derbent-vino-graf-vorontsov-bryut-beloe-sovinon-blan-105-125</t>
        </is>
      </c>
      <c r="G69" t="inlineStr">
        <is>
          <t>derbent-vino-graf-vorontsov-beloe-polusladkoe-sovinon-blan-105-125</t>
        </is>
      </c>
      <c r="H69" t="inlineStr">
        <is>
          <t>novyy-svet-dom-shampanskih-vin-rossiyskoe-shampanskoe-kollektsionnoe-bryut-beloe-novyy-svet-yubileynoe-risling-13</t>
        </is>
      </c>
      <c r="I69" t="inlineStr">
        <is>
          <t>novyy-svet-dom-shampanskih-vin-rossiyskoe-shampanskoe-kollektsionnoe-bryut-beloe-novyy-svet-zolotoy-risling-suhoe-13</t>
        </is>
      </c>
      <c r="J69" t="inlineStr">
        <is>
          <t>derbent-vino-graf-vorontsov-bryut-rozovoe-pervenets-magaracha-105-125</t>
        </is>
      </c>
      <c r="K69">
        <f>IF(C69="","",IFERROR(MATCH(C69,F69:J69,0),"нет"))</f>
        <v/>
      </c>
      <c r="L69">
        <f>IF(C69="","",IF(K69=1,1,0))</f>
        <v/>
      </c>
      <c r="M69">
        <f>IF(C69="","",IF(ISNUMBER(K69),1,0))</f>
        <v/>
      </c>
      <c r="N69" t="inlineStr">
        <is>
          <t>Граф Воронцов. Брют белое — Дербент Вино — Белое брют</t>
        </is>
      </c>
      <c r="O69" t="inlineStr">
        <is>
          <t>Граф Воронцов. Белое полусладкое — Дербент Вино — Белое полусладкое</t>
        </is>
      </c>
      <c r="P69" t="inlineStr">
        <is>
          <t>Российское шампанское коллекционное брют белое «Новый Свет. Юбилейное» — Новый Свет. Дом шампанских вин — Белое брют</t>
        </is>
      </c>
      <c r="Q69" t="inlineStr">
        <is>
          <t>Российское шампанское коллекционное брют белое «Новый Свет. Золотой Рислинг» — Новый Свет. Дом шампанских вин — Белое сухое</t>
        </is>
      </c>
      <c r="R69" t="inlineStr">
        <is>
          <t>Граф Воронцов. Брют розовое — Дербент Вино — Розовое брют</t>
        </is>
      </c>
      <c r="S69" s="3" t="n">
        <v>0.2652928531169891</v>
      </c>
      <c r="T69" s="3" t="n">
        <v>0.6364045143127441</v>
      </c>
      <c r="U69" t="n">
        <v>1225.8</v>
      </c>
    </row>
    <row r="70">
      <c r="A70" t="inlineStr">
        <is>
          <t>96.31_09-09-2026_19-29-01.webp</t>
        </is>
      </c>
      <c r="B70" t="inlineStr">
        <is>
          <t>уверенно</t>
        </is>
      </c>
      <c r="C70" t="inlineStr">
        <is>
          <t>aratti-kaberne-po-belomu</t>
        </is>
      </c>
      <c r="D70" t="inlineStr">
        <is>
          <t>АРАТТИ Каберне по-белому — АРАТТИ — Красное сухое</t>
        </is>
      </c>
      <c r="F70" t="inlineStr">
        <is>
          <t>aratti-kaberne-po-belomu-1</t>
        </is>
      </c>
      <c r="G70" t="inlineStr">
        <is>
          <t>aratti-kaberne-po-belomu</t>
        </is>
      </c>
      <c r="H70" t="inlineStr">
        <is>
          <t>aratti-vremena-goda-saperavi-leto</t>
        </is>
      </c>
      <c r="I70" t="inlineStr">
        <is>
          <t>aratti-kaberne-sovinon-2021-krasnoe-suhoe</t>
        </is>
      </c>
      <c r="J70" t="inlineStr">
        <is>
          <t>aratti-shardone-beloe-suhoe</t>
        </is>
      </c>
      <c r="K70">
        <f>IF(C70="","",IFERROR(MATCH(C70,F70:J70,0),"нет"))</f>
        <v/>
      </c>
      <c r="L70">
        <f>IF(C70="","",IF(K70=1,1,0))</f>
        <v/>
      </c>
      <c r="M70">
        <f>IF(C70="","",IF(ISNUMBER(K70),1,0))</f>
        <v/>
      </c>
      <c r="N70" t="inlineStr">
        <is>
          <t>АРАТТИ Каберне по-белому — АРАТТИ — Розовое полусухое</t>
        </is>
      </c>
      <c r="O70" t="inlineStr">
        <is>
          <t>АРАТТИ Каберне по-белому — АРАТТИ — Красное сухое</t>
        </is>
      </c>
      <c r="P70" t="inlineStr">
        <is>
          <t>АРАТТИ Времена Года Саперави Лето — АРАТТИ — Красное сухое</t>
        </is>
      </c>
      <c r="Q70" t="inlineStr">
        <is>
          <t>АРАТТИ Каберне Совиньон 2021 красное сухое — АРАТТИ — Красное сухое</t>
        </is>
      </c>
      <c r="R70" t="inlineStr">
        <is>
          <t>АРАТТИ Шардоне белое сухое — АРАТТИ — Белое сухое</t>
        </is>
      </c>
      <c r="S70" s="3" t="n">
        <v>0.9999973773956299</v>
      </c>
      <c r="T70" s="3" t="n">
        <v>3.466318503342336e-07</v>
      </c>
      <c r="U70" t="n">
        <v>609.9</v>
      </c>
    </row>
    <row r="71">
      <c r="A71" t="inlineStr">
        <is>
          <t>96.31_21-08-2026_17-24-55.webp</t>
        </is>
      </c>
      <c r="B71" t="inlineStr">
        <is>
          <t>уверенно</t>
        </is>
      </c>
      <c r="C71" t="inlineStr">
        <is>
          <t>bukovinka</t>
        </is>
      </c>
      <c r="D71" t="inlineStr">
        <is>
          <t>Буковинка — Табия — Белое полусухое</t>
        </is>
      </c>
      <c r="F71" t="inlineStr">
        <is>
          <t>bukovinka</t>
        </is>
      </c>
      <c r="G71" t="inlineStr">
        <is>
          <t>rubin-golodrigi</t>
        </is>
      </c>
      <c r="H71" t="inlineStr">
        <is>
          <t>oleg</t>
        </is>
      </c>
      <c r="I71" t="inlineStr">
        <is>
          <t>kaberne-sovinon-2</t>
        </is>
      </c>
      <c r="J71" t="inlineStr">
        <is>
          <t>rozovoe-zoloto</t>
        </is>
      </c>
      <c r="K71">
        <f>IF(C71="","",IFERROR(MATCH(C71,F71:J71,0),"нет"))</f>
        <v/>
      </c>
      <c r="L71">
        <f>IF(C71="","",IF(K71=1,1,0))</f>
        <v/>
      </c>
      <c r="M71">
        <f>IF(C71="","",IF(ISNUMBER(K71),1,0))</f>
        <v/>
      </c>
      <c r="N71" t="inlineStr">
        <is>
          <t>Буковинка — Табия — Белое полусухое</t>
        </is>
      </c>
      <c r="O71" t="inlineStr">
        <is>
          <t>Рубин Голодриги  — Табия — Красное сухое</t>
        </is>
      </c>
      <c r="P71" t="inlineStr">
        <is>
          <t>Олег — Табия — Белое сухое</t>
        </is>
      </c>
      <c r="Q71" t="inlineStr">
        <is>
          <t>Каберне Совиньон — Табия — Красное сухое</t>
        </is>
      </c>
      <c r="R71" t="inlineStr">
        <is>
          <t>Розовое золото — Табия — Розовое полусухое</t>
        </is>
      </c>
      <c r="S71" s="3" t="n">
        <v>0.9999997615814209</v>
      </c>
      <c r="T71" s="3" t="n">
        <v>1.444980028963982e-07</v>
      </c>
      <c r="U71" t="n">
        <v>514.9</v>
      </c>
    </row>
    <row r="72">
      <c r="A72" t="inlineStr">
        <is>
          <t>96.3_08-09-2026_10-53-14.webp</t>
        </is>
      </c>
      <c r="B72" t="inlineStr">
        <is>
          <t>нет в каталоге</t>
        </is>
      </c>
      <c r="F72" t="inlineStr">
        <is>
          <t>fanagoriya-zelyonoe-vino-risling-tsitronnyy-magaracha-beloe-polusuhoe-11</t>
        </is>
      </c>
      <c r="G72" t="inlineStr">
        <is>
          <t>fanagoriya-beloe-polusladkoe</t>
        </is>
      </c>
      <c r="H72" t="inlineStr">
        <is>
          <t>fanagoriya-zelyonoe-vino-risling-tsitronnyy-magaracha-merlo-rozovoe-polusuhoe-11</t>
        </is>
      </c>
      <c r="I72" t="inlineStr">
        <is>
          <t>rozovoe-polusladkoe</t>
        </is>
      </c>
      <c r="J72" t="inlineStr">
        <is>
          <t>vinodelnya-pokrovskaya-risling-pokrovskoe-risling-reynskiy-beloe-suhoe-13</t>
        </is>
      </c>
      <c r="K72">
        <f>IF(C72="","",IFERROR(MATCH(C72,F72:J72,0),"нет"))</f>
        <v/>
      </c>
      <c r="L72">
        <f>IF(C72="","",IF(K72=1,1,0))</f>
        <v/>
      </c>
      <c r="M72">
        <f>IF(C72="","",IF(ISNUMBER(K72),1,0))</f>
        <v/>
      </c>
      <c r="N72" t="inlineStr">
        <is>
          <t>Зелёное вино. Рислинг - Цитронный Магарача — Фанагория — Белое полусухое</t>
        </is>
      </c>
      <c r="O72" t="inlineStr">
        <is>
          <t>Фанагория белое полусладкое — Фанагория — Белое полусладкое</t>
        </is>
      </c>
      <c r="P72" t="inlineStr">
        <is>
          <t>Зелёное вино. Рислинг - Цитронный Магарача - Мерло — Фанагория — Розовое полусухое</t>
        </is>
      </c>
      <c r="Q72" t="inlineStr">
        <is>
          <t>Розовое полусладкое — Фанагория — Розовое полусладкое</t>
        </is>
      </c>
      <c r="R72" t="inlineStr">
        <is>
          <t>Рислинг. Покровское — Винодельня Покровская — Белое сухое</t>
        </is>
      </c>
      <c r="S72" s="3" t="n">
        <v>0.9965035915374756</v>
      </c>
      <c r="T72" s="3" t="n">
        <v>2.421586577838752e-05</v>
      </c>
      <c r="U72" t="n">
        <v>741</v>
      </c>
    </row>
    <row r="73">
      <c r="A73" t="inlineStr">
        <is>
          <t>96.3_28-08-2026_09-12-56.webp</t>
        </is>
      </c>
      <c r="B73" t="inlineStr">
        <is>
          <t>нет в каталоге</t>
        </is>
      </c>
      <c r="F73" t="inlineStr">
        <is>
          <t>usadba-divnomorskoe-yuzhnyy-les-merlo-krasnoe-suhoe-137</t>
        </is>
      </c>
      <c r="G73" t="inlineStr">
        <is>
          <t>usadba-divnomorskoe-solist-marselan-rozovoe-suhoe-115</t>
        </is>
      </c>
      <c r="H73" t="inlineStr">
        <is>
          <t>usadba-divnomorskoe-holodnyy-tuman-risling-beloe-suhoe-115</t>
        </is>
      </c>
      <c r="I73" t="inlineStr">
        <is>
          <t>usadba-divnomorskoe-solnechnyy-veter-shardone-beloe-suhoe-125</t>
        </is>
      </c>
      <c r="J73" t="inlineStr">
        <is>
          <t>vinodelnya-vedernikov-vedernikov-krasnostop-zolotovskiy-magnum-krasnoe-suhoe-145</t>
        </is>
      </c>
      <c r="K73">
        <f>IF(C73="","",IFERROR(MATCH(C73,F73:J73,0),"нет"))</f>
        <v/>
      </c>
      <c r="L73">
        <f>IF(C73="","",IF(K73=1,1,0))</f>
        <v/>
      </c>
      <c r="M73">
        <f>IF(C73="","",IF(ISNUMBER(K73),1,0))</f>
        <v/>
      </c>
      <c r="N73" t="inlineStr">
        <is>
          <t>Южный Лес — Усадьба Дивноморское — Красное сухое</t>
        </is>
      </c>
      <c r="O73" t="inlineStr">
        <is>
          <t>Солист — Усадьба Дивноморское — Розовое сухое</t>
        </is>
      </c>
      <c r="P73" t="inlineStr">
        <is>
          <t>Холодный Туман — Усадьба Дивноморское — Белое сухое</t>
        </is>
      </c>
      <c r="Q73" t="inlineStr">
        <is>
          <t>Солнечный Ветер — Усадьба Дивноморское — Белое сухое</t>
        </is>
      </c>
      <c r="R73" t="inlineStr">
        <is>
          <t>Ведерниковъ Красностоп Золотовский (магнум) — Ведерниковъ — Красное сухое</t>
        </is>
      </c>
      <c r="S73" s="3" t="n">
        <v>0.9999290704727173</v>
      </c>
      <c r="T73" s="3" t="n">
        <v>5.14412131451536e-05</v>
      </c>
      <c r="U73" t="n">
        <v>1084.1</v>
      </c>
    </row>
    <row r="74">
      <c r="A74" t="inlineStr">
        <is>
          <t>96.42_22-08-2026_21-29-43.webp</t>
        </is>
      </c>
      <c r="B74" t="inlineStr">
        <is>
          <t>нет в каталоге</t>
        </is>
      </c>
      <c r="F74" t="inlineStr">
        <is>
          <t>abrau-dyurso-udelnoe-vedomstvo-imperatorskoe-beloe-bryut</t>
        </is>
      </c>
      <c r="G74" t="inlineStr">
        <is>
          <t>abrau-dyurso-imperatorskoe-bryut-shardone-beloe-12</t>
        </is>
      </c>
      <c r="H74" t="inlineStr">
        <is>
          <t>abrau-dyurso-imperial-brut-lart-nouveau-shardone-beloe-bryut-105</t>
        </is>
      </c>
      <c r="I74" t="inlineStr">
        <is>
          <t>abrau-dyurso-imperial-kyuve-pino-nuar-rozovoe-bryut-125</t>
        </is>
      </c>
      <c r="J74" t="inlineStr">
        <is>
          <t>abrau-dyurso-imperial-brut-vintage-shardone-beloe-bryut-12</t>
        </is>
      </c>
      <c r="K74">
        <f>IF(C74="","",IFERROR(MATCH(C74,F74:J74,0),"нет"))</f>
        <v/>
      </c>
      <c r="L74">
        <f>IF(C74="","",IF(K74=1,1,0))</f>
        <v/>
      </c>
      <c r="M74">
        <f>IF(C74="","",IF(ISNUMBER(K74),1,0))</f>
        <v/>
      </c>
      <c r="N74" t="inlineStr">
        <is>
          <t>Абрау Дюрсо Удельное Ведомство Императорское белое брют — Абрау-Дюрсо — Белое брют</t>
        </is>
      </c>
      <c r="O74" t="inlineStr">
        <is>
          <t>Императорское брют — Абрау-Дюрсо — Белое брют</t>
        </is>
      </c>
      <c r="P74" t="inlineStr">
        <is>
          <t>Империал Brut L'Art Nouveau — Абрау-Дюрсо — Белое брют</t>
        </is>
      </c>
      <c r="Q74" t="inlineStr">
        <is>
          <t>Империал Кюве — Абрау-Дюрсо — Розовое брют</t>
        </is>
      </c>
      <c r="R74" t="inlineStr">
        <is>
          <t>Империал. Brut Vintage — Абрау-Дюрсо — Белое брют</t>
        </is>
      </c>
      <c r="S74" s="3" t="n">
        <v>7.889252628956456e-06</v>
      </c>
      <c r="T74" s="3" t="n">
        <v>0.9999909400939941</v>
      </c>
      <c r="U74" t="n">
        <v>865.3</v>
      </c>
    </row>
    <row r="75">
      <c r="A75" t="inlineStr">
        <is>
          <t>96.44_05-09-2026_15-33-59.webp</t>
        </is>
      </c>
      <c r="B75" t="inlineStr">
        <is>
          <t>уверенно</t>
        </is>
      </c>
      <c r="C75" t="inlineStr">
        <is>
          <t>sovinon-blan</t>
        </is>
      </c>
      <c r="D75" t="inlineStr">
        <is>
          <t>Совиньон Блан — Литавщук. Litavshchuk vineyards &amp; winery — Белое полусладкое</t>
        </is>
      </c>
      <c r="F75" t="inlineStr">
        <is>
          <t>sovinon-blan</t>
        </is>
      </c>
      <c r="G75" t="inlineStr">
        <is>
          <t>blagolyubov-sovinon-blan-beloe-suhoe-125</t>
        </is>
      </c>
      <c r="H75" t="inlineStr">
        <is>
          <t>sovinon-blan-krasnaya-gorka</t>
        </is>
      </c>
      <c r="I75" t="inlineStr">
        <is>
          <t>dubinin-winery-sovinon-blan-beloe-suhoe-12</t>
        </is>
      </c>
      <c r="J75" t="inlineStr">
        <is>
          <t>orlov_sauvignon_blan</t>
        </is>
      </c>
      <c r="K75">
        <f>IF(C75="","",IFERROR(MATCH(C75,F75:J75,0),"нет"))</f>
        <v/>
      </c>
      <c r="L75">
        <f>IF(C75="","",IF(K75=1,1,0))</f>
        <v/>
      </c>
      <c r="M75">
        <f>IF(C75="","",IF(ISNUMBER(K75),1,0))</f>
        <v/>
      </c>
      <c r="N75" t="inlineStr">
        <is>
          <t>Совиньон Блан — Литавщук. Litavshchuk vineyards &amp; winery — Белое полусладкое</t>
        </is>
      </c>
      <c r="O75" t="inlineStr">
        <is>
          <t>Совиньон Блан — Благолюбов — Белое сухое</t>
        </is>
      </c>
      <c r="P75" t="inlineStr">
        <is>
          <t>Совиньон Блан — Галицкий и Галицкий — Белое сухое</t>
        </is>
      </c>
      <c r="Q75" t="inlineStr">
        <is>
          <t>Совиньон Блан — Dubinin Winery — Белое сухое</t>
        </is>
      </c>
      <c r="R75" t="inlineStr">
        <is>
          <t>Совиньон Блан — Винодельня Орлова — Белое сухое</t>
        </is>
      </c>
      <c r="S75" s="3" t="n">
        <v>0.9999998807907104</v>
      </c>
      <c r="T75" s="3" t="n">
        <v>6.825602838489431e-08</v>
      </c>
      <c r="U75" t="n">
        <v>806.1</v>
      </c>
    </row>
    <row r="76">
      <c r="A76" t="inlineStr">
        <is>
          <t>96.45_02-09-2026_14-19-06.webp</t>
        </is>
      </c>
      <c r="B76" t="inlineStr">
        <is>
          <t>нет в каталоге</t>
        </is>
      </c>
      <c r="F76" t="inlineStr">
        <is>
          <t>abrau-dyurso-russkoe-igristoe-polusladkoe-krasnoe-kaberne-sovinon-12</t>
        </is>
      </c>
      <c r="G76" t="inlineStr">
        <is>
          <t>abrau-dyurso-udelnoe-vedomstvo-imperatorskoe-beloe-polusladkoe</t>
        </is>
      </c>
      <c r="H76" t="inlineStr">
        <is>
          <t>abrau-dyurso-imperial-brut-rose-pino-nuar-rozovoe-bryut-12</t>
        </is>
      </c>
      <c r="I76" t="inlineStr">
        <is>
          <t>abrau-dyurso-victor-dravigny-brut-rose-pino-nuar-rozovoe-bryut-12</t>
        </is>
      </c>
      <c r="J76" t="inlineStr">
        <is>
          <t>abrau-dyurso-udelnoe-vedomstvo-imperatorskoe-beloe-bryut</t>
        </is>
      </c>
      <c r="K76">
        <f>IF(C76="","",IFERROR(MATCH(C76,F76:J76,0),"нет"))</f>
        <v/>
      </c>
      <c r="L76">
        <f>IF(C76="","",IF(K76=1,1,0))</f>
        <v/>
      </c>
      <c r="M76">
        <f>IF(C76="","",IF(ISNUMBER(K76),1,0))</f>
        <v/>
      </c>
      <c r="N76" t="inlineStr">
        <is>
          <t>Русское Игристое полусладкое красное — Абрау-Дюрсо — Красное полусладкое</t>
        </is>
      </c>
      <c r="O76" t="inlineStr">
        <is>
          <t>Абрау Дюрсо Удельное Ведомство Императорское белое полусладкое — Абрау-Дюрсо — Белое полусладкое</t>
        </is>
      </c>
      <c r="P76" t="inlineStr">
        <is>
          <t>Империал Brut Rose — Абрау-Дюрсо — Розовое брют</t>
        </is>
      </c>
      <c r="Q76" t="inlineStr">
        <is>
          <t>Victor Dravigny. Brut Rose — Абрау-Дюрсо — Розовое брют</t>
        </is>
      </c>
      <c r="R76" t="inlineStr">
        <is>
          <t>Абрау Дюрсо Удельное Ведомство Императорское белое брют — Абрау-Дюрсо — Белое брют</t>
        </is>
      </c>
      <c r="S76" s="3" t="n">
        <v>0.9999147653579712</v>
      </c>
      <c r="T76" s="3" t="n">
        <v>1.370842255710158e-06</v>
      </c>
      <c r="U76" t="n">
        <v>690.5</v>
      </c>
    </row>
    <row r="77">
      <c r="A77" t="inlineStr">
        <is>
          <t>96.45_19-08-2026_19-35-28.webp</t>
        </is>
      </c>
      <c r="B77" t="inlineStr">
        <is>
          <t>не уверен</t>
        </is>
      </c>
      <c r="C77" t="inlineStr">
        <is>
          <t>czitronnyj-magaracha</t>
        </is>
      </c>
      <c r="D77" t="inlineStr">
        <is>
          <t>Цитрон — Табия — Белое сухое</t>
        </is>
      </c>
      <c r="E77" t="inlineStr">
        <is>
          <t>в slug сухое, а нужно полусухое, но полусухого нет</t>
        </is>
      </c>
      <c r="F77" t="inlineStr">
        <is>
          <t>czitronnyj-magaracha</t>
        </is>
      </c>
      <c r="G77" t="inlineStr">
        <is>
          <t>risling-1</t>
        </is>
      </c>
      <c r="H77" t="inlineStr">
        <is>
          <t>oleg</t>
        </is>
      </c>
      <c r="I77" t="inlineStr">
        <is>
          <t>rubin-golodrigi</t>
        </is>
      </c>
      <c r="J77" t="inlineStr">
        <is>
          <t>bukovinka</t>
        </is>
      </c>
      <c r="K77">
        <f>IF(C77="","",IFERROR(MATCH(C77,F77:J77,0),"нет"))</f>
        <v/>
      </c>
      <c r="L77">
        <f>IF(C77="","",IF(K77=1,1,0))</f>
        <v/>
      </c>
      <c r="M77">
        <f>IF(C77="","",IF(ISNUMBER(K77),1,0))</f>
        <v/>
      </c>
      <c r="N77" t="inlineStr">
        <is>
          <t>Цитрон — Табия — Белое сухое</t>
        </is>
      </c>
      <c r="O77" t="inlineStr">
        <is>
          <t>Рислинг — Табия — Белое полусухое</t>
        </is>
      </c>
      <c r="P77" t="inlineStr">
        <is>
          <t>Олег — Табия — Белое сухое</t>
        </is>
      </c>
      <c r="Q77" t="inlineStr">
        <is>
          <t>Рубин Голодриги  — Табия — Красное сухое</t>
        </is>
      </c>
      <c r="R77" t="inlineStr">
        <is>
          <t>Буковинка — Табия — Белое полусухое</t>
        </is>
      </c>
      <c r="S77" s="3" t="n">
        <v>0.9999997615814209</v>
      </c>
      <c r="T77" s="3" t="n">
        <v>7.734419682492444e-08</v>
      </c>
      <c r="U77" t="n">
        <v>509.6</v>
      </c>
    </row>
    <row r="78">
      <c r="A78" t="inlineStr">
        <is>
          <t>96.53_03-09-2026_16-39-17.webp</t>
        </is>
      </c>
      <c r="B78" t="inlineStr">
        <is>
          <t>нет в каталоге</t>
        </is>
      </c>
      <c r="F78" t="inlineStr">
        <is>
          <t>fanagoriya-beloe-polusladkoe</t>
        </is>
      </c>
      <c r="G78" t="inlineStr">
        <is>
          <t>rozovoe-polusladkoe</t>
        </is>
      </c>
      <c r="H78" t="inlineStr">
        <is>
          <t>fanagoriya-fanagoria-extra-brut-rose-2019-pino-nuar-igristoe-bryut-rozovoe-ekstra-bryut-12</t>
        </is>
      </c>
      <c r="I78" t="inlineStr">
        <is>
          <t>fanagoriya-fanagoriya-blanc-de-blancs-beloe-iz-belogo-shardone-igristoe-bryut-beloe-11-13</t>
        </is>
      </c>
      <c r="J78" t="inlineStr">
        <is>
          <t>fanagoriya-zelyonoe-vino-risling-tsitronnyy-magaracha-merlo-rozovoe-polusuhoe-11</t>
        </is>
      </c>
      <c r="K78">
        <f>IF(C78="","",IFERROR(MATCH(C78,F78:J78,0),"нет"))</f>
        <v/>
      </c>
      <c r="L78">
        <f>IF(C78="","",IF(K78=1,1,0))</f>
        <v/>
      </c>
      <c r="M78">
        <f>IF(C78="","",IF(ISNUMBER(K78),1,0))</f>
        <v/>
      </c>
      <c r="N78" t="inlineStr">
        <is>
          <t>Фанагория белое полусладкое — Фанагория — Белое полусладкое</t>
        </is>
      </c>
      <c r="O78" t="inlineStr">
        <is>
          <t>Розовое полусладкое — Фанагория — Розовое полусладкое</t>
        </is>
      </c>
      <c r="P78" t="inlineStr">
        <is>
          <t>Fanagoria Extra Brut Rose 2019 — Фанагория — Розовое экстра брют</t>
        </is>
      </c>
      <c r="Q78" t="inlineStr">
        <is>
          <t>Фанагория. Blanc de Blancs. Белое из белого — Фанагория — Белое брют</t>
        </is>
      </c>
      <c r="R78" t="inlineStr">
        <is>
          <t>Зелёное вино. Рислинг - Цитронный Магарача - Мерло — Фанагория — Розовое полусухое</t>
        </is>
      </c>
      <c r="S78" s="3" t="n">
        <v>0.4068005979061127</v>
      </c>
      <c r="T78" s="3" t="n">
        <v>0.06238489225506783</v>
      </c>
      <c r="U78" t="n">
        <v>913.8</v>
      </c>
    </row>
    <row r="79">
      <c r="A79" t="inlineStr">
        <is>
          <t>96.54_04-09-2026_19-30-52.webp</t>
        </is>
      </c>
      <c r="B79" t="inlineStr">
        <is>
          <t>уверенно</t>
        </is>
      </c>
      <c r="C79" t="inlineStr">
        <is>
          <t>denisov-winery-risling-beloe-suhoe-115</t>
        </is>
      </c>
      <c r="D79" t="inlineStr">
        <is>
          <t>Рислинг — Denisov Winery — Белое сухое</t>
        </is>
      </c>
      <c r="F79" t="inlineStr">
        <is>
          <t>denisov-winery-risling-beloe-suhoe-115</t>
        </is>
      </c>
      <c r="G79" t="inlineStr">
        <is>
          <t>dubinin-winery-risling-beloe-suhoe-12</t>
        </is>
      </c>
      <c r="H79" t="inlineStr">
        <is>
          <t>risling-2</t>
        </is>
      </c>
      <c r="I79" t="inlineStr">
        <is>
          <t>vinodelnya-78-aligote-otbornoe-beloe-suhoe-12</t>
        </is>
      </c>
      <c r="J79" t="inlineStr">
        <is>
          <t>belbek-rkatsiteli-barrik-beloe-suhoe-13</t>
        </is>
      </c>
      <c r="K79">
        <f>IF(C79="","",IFERROR(MATCH(C79,F79:J79,0),"нет"))</f>
        <v/>
      </c>
      <c r="L79">
        <f>IF(C79="","",IF(K79=1,1,0))</f>
        <v/>
      </c>
      <c r="M79">
        <f>IF(C79="","",IF(ISNUMBER(K79),1,0))</f>
        <v/>
      </c>
      <c r="N79" t="inlineStr">
        <is>
          <t>Рислинг — Denisov Winery — Белое сухое</t>
        </is>
      </c>
      <c r="O79" t="inlineStr">
        <is>
          <t>Рислинг — Dubinin Winery — Белое сухое</t>
        </is>
      </c>
      <c r="P79" t="inlineStr">
        <is>
          <t>Рислинг  — Литавщук. Litavshchuk vineyards &amp; winery — Белое полусухое</t>
        </is>
      </c>
      <c r="Q79" t="inlineStr">
        <is>
          <t>Алиготе Отборное — Винодельня 78 — Белое сухое</t>
        </is>
      </c>
      <c r="R79" t="inlineStr">
        <is>
          <t>Ркацители Баррик — Бельбек — Белое сухое</t>
        </is>
      </c>
      <c r="S79" s="3" t="n">
        <v>1</v>
      </c>
      <c r="T79" s="3" t="n">
        <v>4.139937814784389e-08</v>
      </c>
      <c r="U79" t="n">
        <v>790.9</v>
      </c>
    </row>
    <row r="80">
      <c r="A80" t="inlineStr">
        <is>
          <t>96.55_30-08-2026_19-34-31.webp</t>
        </is>
      </c>
      <c r="B80" t="inlineStr">
        <is>
          <t>уверенно</t>
        </is>
      </c>
      <c r="C80" t="inlineStr">
        <is>
          <t>novyy-svet-dom-shampanskih-vin-novyy-svet-polusladkoe-roze-shardone-rozovoe-115</t>
        </is>
      </c>
      <c r="D80" t="inlineStr">
        <is>
          <t>Новый Свет полусладкое розе — Новый Свет. Дом шампанских вин — Розовое полусладкое</t>
        </is>
      </c>
      <c r="F80" t="inlineStr">
        <is>
          <t>novyy-svet-dom-shampanskih-vin-novyy-svet-polusladkoe-roze-shardone-rozovoe-115</t>
        </is>
      </c>
      <c r="G80" t="inlineStr">
        <is>
          <t>novyy-svet-dom-shampanskih-vin-rossiyskoe-shampanskoe-vyderzhannoe-polusladkoe-rozovoe-novyy-svet-shardone-125</t>
        </is>
      </c>
      <c r="H80" t="inlineStr">
        <is>
          <t>novyj-svet-polusladkoe</t>
        </is>
      </c>
      <c r="I80" t="inlineStr">
        <is>
          <t>novyj-svet-vyderzhannoe-bryut</t>
        </is>
      </c>
      <c r="J80" t="inlineStr">
        <is>
          <t>novyj-svet-polusuhoe-kollekczionnoe</t>
        </is>
      </c>
      <c r="K80">
        <f>IF(C80="","",IFERROR(MATCH(C80,F80:J80,0),"нет"))</f>
        <v/>
      </c>
      <c r="L80">
        <f>IF(C80="","",IF(K80=1,1,0))</f>
        <v/>
      </c>
      <c r="M80">
        <f>IF(C80="","",IF(ISNUMBER(K80),1,0))</f>
        <v/>
      </c>
      <c r="N80" t="inlineStr">
        <is>
          <t>Новый Свет полусладкое розе — Новый Свет. Дом шампанских вин — Розовое полусладкое</t>
        </is>
      </c>
      <c r="O80" t="inlineStr">
        <is>
          <t>Российское шампанское выдержанное полусладкое розовое «Новый Свет» — Новый Свет. Дом шампанских вин — Розовое полусладкое</t>
        </is>
      </c>
      <c r="P80" t="inlineStr">
        <is>
          <t>Новый Свет полусладкое — Новый Свет. Дом шампанских вин — Белое полусладкое</t>
        </is>
      </c>
      <c r="Q80" t="inlineStr">
        <is>
          <t>Новый Свет выдержанное брют — Новый Свет. Дом шампанских вин — Белое брют</t>
        </is>
      </c>
      <c r="R80" t="inlineStr">
        <is>
          <t>Новый Свет полусухое коллекционное — Новый Свет. Дом шампанских вин — Белое полусухое</t>
        </is>
      </c>
      <c r="S80" s="3" t="n">
        <v>0.9999703168869019</v>
      </c>
      <c r="T80" s="3" t="n">
        <v>3.466224711701216e-07</v>
      </c>
      <c r="U80" t="n">
        <v>760.3</v>
      </c>
    </row>
    <row r="81">
      <c r="A81" t="inlineStr">
        <is>
          <t>96.58_05-09-2026_16-05-04.webp</t>
        </is>
      </c>
      <c r="B81" t="inlineStr">
        <is>
          <t>уверенно</t>
        </is>
      </c>
      <c r="C81" t="inlineStr">
        <is>
          <t>fanagoriya-zelyonoe-vino-risling-tsitronnyy-magaracha-beloe-polusuhoe-11</t>
        </is>
      </c>
      <c r="D81" t="inlineStr">
        <is>
          <t>Зелёное вино. Рислинг - Цитронный Магарача — Фанагория — Белое полусухое</t>
        </is>
      </c>
      <c r="F81" t="inlineStr">
        <is>
          <t>fanagoriya-zelyonoe-vino-risling-tsitronnyy-magaracha-beloe-polusuhoe-11</t>
        </is>
      </c>
      <c r="G81" t="inlineStr">
        <is>
          <t>fanagoriya-zelyonoe-vino-risling-tsitronnyy-magaracha-merlo-rozovoe-polusuhoe-11</t>
        </is>
      </c>
      <c r="H81" t="inlineStr">
        <is>
          <t>fanagoriya-beloe-polusladkoe</t>
        </is>
      </c>
      <c r="I81" t="inlineStr">
        <is>
          <t>rozovoe-polusladkoe</t>
        </is>
      </c>
      <c r="J81" t="inlineStr">
        <is>
          <t>eleonora</t>
        </is>
      </c>
      <c r="K81">
        <f>IF(C81="","",IFERROR(MATCH(C81,F81:J81,0),"нет"))</f>
        <v/>
      </c>
      <c r="L81">
        <f>IF(C81="","",IF(K81=1,1,0))</f>
        <v/>
      </c>
      <c r="M81">
        <f>IF(C81="","",IF(ISNUMBER(K81),1,0))</f>
        <v/>
      </c>
      <c r="N81" t="inlineStr">
        <is>
          <t>Зелёное вино. Рислинг - Цитронный Магарача — Фанагория — Белое полусухое</t>
        </is>
      </c>
      <c r="O81" t="inlineStr">
        <is>
          <t>Зелёное вино. Рислинг - Цитронный Магарача - Мерло — Фанагория — Розовое полусухое</t>
        </is>
      </c>
      <c r="P81" t="inlineStr">
        <is>
          <t>Фанагория белое полусладкое — Фанагория — Белое полусладкое</t>
        </is>
      </c>
      <c r="Q81" t="inlineStr">
        <is>
          <t>Розовое полусладкое — Фанагория — Розовое полусладкое</t>
        </is>
      </c>
      <c r="R81" t="inlineStr">
        <is>
          <t>Eleonora, 2021 — WINEMAFIA — Белое сухое</t>
        </is>
      </c>
      <c r="S81" s="3" t="n">
        <v>0.9999996423721313</v>
      </c>
      <c r="T81" s="3" t="n">
        <v>2.382368791131739e-07</v>
      </c>
      <c r="U81" t="n">
        <v>766.6</v>
      </c>
    </row>
    <row r="82">
      <c r="A82" t="inlineStr">
        <is>
          <t>96.61_28-08-2026_09-16-27.webp</t>
        </is>
      </c>
      <c r="B82" t="inlineStr">
        <is>
          <t>нет в каталоге</t>
        </is>
      </c>
      <c r="F82" t="inlineStr">
        <is>
          <t>balaklava-muskat-beloe-polusladkoe</t>
        </is>
      </c>
      <c r="G82" t="inlineStr">
        <is>
          <t>balaklava-bryut-rezerv</t>
        </is>
      </c>
      <c r="H82" t="inlineStr">
        <is>
          <t>balaklava-muskat</t>
        </is>
      </c>
      <c r="I82" t="inlineStr">
        <is>
          <t>balaklava-pino-nuar</t>
        </is>
      </c>
      <c r="J82" t="inlineStr">
        <is>
          <t>shardone-balaklava</t>
        </is>
      </c>
      <c r="K82">
        <f>IF(C82="","",IFERROR(MATCH(C82,F82:J82,0),"нет"))</f>
        <v/>
      </c>
      <c r="L82">
        <f>IF(C82="","",IF(K82=1,1,0))</f>
        <v/>
      </c>
      <c r="M82">
        <f>IF(C82="","",IF(ISNUMBER(K82),1,0))</f>
        <v/>
      </c>
      <c r="N82" t="inlineStr">
        <is>
          <t>Балаклава Мускат белое полусладкое — Золотая Балка — Белое полусладкое</t>
        </is>
      </c>
      <c r="O82" t="inlineStr">
        <is>
          <t>Балаклава Брют Резерв — Золотая Балка — Белое брют</t>
        </is>
      </c>
      <c r="P82" t="inlineStr">
        <is>
          <t>Балаклава Мускат — Золотая Балка — Белое брют</t>
        </is>
      </c>
      <c r="Q82" t="inlineStr">
        <is>
          <t>Балаклава Пино Нуар — Золотая Балка — Розовое брют</t>
        </is>
      </c>
      <c r="R82" t="inlineStr">
        <is>
          <t>Шардоне Балаклава  — Золотая Балка — Белое брют</t>
        </is>
      </c>
      <c r="S82" s="3" t="n">
        <v>0.9999996423721313</v>
      </c>
      <c r="T82" s="3" t="n">
        <v>1.444979744746888e-07</v>
      </c>
      <c r="U82" t="n">
        <v>1513.5</v>
      </c>
    </row>
    <row r="83">
      <c r="A83" t="inlineStr">
        <is>
          <t>96.62_07-09-2026_18-12-27.webp</t>
        </is>
      </c>
      <c r="B83" t="inlineStr">
        <is>
          <t>уверенно</t>
        </is>
      </c>
      <c r="C83" t="inlineStr">
        <is>
          <t>fanagoriya-zelyonoe-vino-risling-tsitronnyy-magaracha-beloe-polusuhoe-11</t>
        </is>
      </c>
      <c r="D83" t="inlineStr">
        <is>
          <t>Зелёное вино. Рислинг - Цитронный Магарача — Фанагория — Белое полусухое</t>
        </is>
      </c>
      <c r="F83" t="inlineStr">
        <is>
          <t>fanagoriya-zelyonoe-vino-risling-tsitronnyy-magaracha-beloe-polusuhoe-11</t>
        </is>
      </c>
      <c r="G83" t="inlineStr">
        <is>
          <t>fanagoriya-zelyonoe-vino-risling-tsitronnyy-magaracha-merlo-rozovoe-polusuhoe-11</t>
        </is>
      </c>
      <c r="H83" t="inlineStr">
        <is>
          <t>fanagoriya-100-ottenkov-shardone-beloe-suhoe-14</t>
        </is>
      </c>
      <c r="I83" t="inlineStr">
        <is>
          <t>fanagoriya-beloe-polusladkoe</t>
        </is>
      </c>
      <c r="J83" t="inlineStr">
        <is>
          <t>rozovoe-polusladkoe</t>
        </is>
      </c>
      <c r="K83">
        <f>IF(C83="","",IFERROR(MATCH(C83,F83:J83,0),"нет"))</f>
        <v/>
      </c>
      <c r="L83">
        <f>IF(C83="","",IF(K83=1,1,0))</f>
        <v/>
      </c>
      <c r="M83">
        <f>IF(C83="","",IF(ISNUMBER(K83),1,0))</f>
        <v/>
      </c>
      <c r="N83" t="inlineStr">
        <is>
          <t>Зелёное вино. Рислинг - Цитронный Магарача — Фанагория — Белое полусухое</t>
        </is>
      </c>
      <c r="O83" t="inlineStr">
        <is>
          <t>Зелёное вино. Рислинг - Цитронный Магарача - Мерло — Фанагория — Розовое полусухое</t>
        </is>
      </c>
      <c r="P83" t="inlineStr">
        <is>
          <t>100 оттенков. Шардоне — Фанагория — Белое сухое</t>
        </is>
      </c>
      <c r="Q83" t="inlineStr">
        <is>
          <t>Фанагория белое полусладкое — Фанагория — Белое полусладкое</t>
        </is>
      </c>
      <c r="R83" t="inlineStr">
        <is>
          <t>Розовое полусладкое — Фанагория — Розовое полусладкое</t>
        </is>
      </c>
      <c r="S83" s="3" t="n">
        <v>0.9999998807907104</v>
      </c>
      <c r="T83" s="3" t="n">
        <v>6.825602838489431e-08</v>
      </c>
      <c r="U83" t="n">
        <v>824.3</v>
      </c>
    </row>
    <row r="84">
      <c r="A84" t="inlineStr">
        <is>
          <t>96.64_26-08-2026_16-52-37.webp</t>
        </is>
      </c>
      <c r="B84" t="inlineStr">
        <is>
          <t>нет в каталоге</t>
        </is>
      </c>
      <c r="F84" t="inlineStr">
        <is>
          <t>valeriy-zaharin-bastardo-kefesiya-avtohtonnoe-vino-kryma-bastardo-magarachskiy-krasnoe-suhoe-115</t>
        </is>
      </c>
      <c r="G84" t="inlineStr">
        <is>
          <t>vinodelnya-begildeeva-kaberne-sovinon-krasnoe-suhoe-14</t>
        </is>
      </c>
      <c r="H84" t="inlineStr">
        <is>
          <t>valeriy-zaharin-avtorskoe-vino-ot-valeriya-zaharina-bastardo-bastardo-magarachskiy-krasnoe-suhoe-12</t>
        </is>
      </c>
      <c r="I84" t="inlineStr">
        <is>
          <t>valeriy-zaharin-avtorskoe-vino-ot-valeriya-zaharina-aleatiko-rozovoe-suhoe-115</t>
        </is>
      </c>
      <c r="J84" t="inlineStr">
        <is>
          <t>valeriy-zaharin-avtorskoe-vino-ot-valeriya-zaharina-krasnoe-pino-nuar-suhoe-125</t>
        </is>
      </c>
      <c r="K84">
        <f>IF(C84="","",IFERROR(MATCH(C84,F84:J84,0),"нет"))</f>
        <v/>
      </c>
      <c r="L84">
        <f>IF(C84="","",IF(K84=1,1,0))</f>
        <v/>
      </c>
      <c r="M84">
        <f>IF(C84="","",IF(ISNUMBER(K84),1,0))</f>
        <v/>
      </c>
      <c r="N84" t="inlineStr">
        <is>
          <t>Бастардо - Кефесия. Автохтонное вино Крыма — Валерий Захарьин — Красное сухое</t>
        </is>
      </c>
      <c r="O84" t="inlineStr">
        <is>
          <t>Каберне Совиньон — Винодельня Бегильдеева — Красное сухое</t>
        </is>
      </c>
      <c r="P84" t="inlineStr">
        <is>
          <t>Авторское вино от Валерия Захарьина. Бастардо — Валерий Захарьин — Красное сухое</t>
        </is>
      </c>
      <c r="Q84" t="inlineStr">
        <is>
          <t>Авторское вино от Валерия Захарьина. Алеатико — Валерий Захарьин — Розовое сухое</t>
        </is>
      </c>
      <c r="R84" t="inlineStr">
        <is>
          <t>Авторское вино от Валерия Захарьина. Красное — Валерий Захарьин — Красное сухое</t>
        </is>
      </c>
      <c r="S84" s="3" t="n">
        <v>0.771795928478241</v>
      </c>
      <c r="T84" s="3" t="n">
        <v>0.0001570360618643463</v>
      </c>
      <c r="U84" t="n">
        <v>554.7</v>
      </c>
    </row>
    <row r="85">
      <c r="A85" t="inlineStr">
        <is>
          <t>96.65_02-09-2026_12-08-51.webp</t>
        </is>
      </c>
      <c r="B85" t="inlineStr">
        <is>
          <t>уверенно</t>
        </is>
      </c>
      <c r="C85" t="inlineStr">
        <is>
          <t>kaberne-sovinon-3</t>
        </is>
      </c>
      <c r="D85" t="inlineStr">
        <is>
          <t>Каберне Совиньон — Литавщук. Litavshchuk vineyards &amp; winery — Красное полусухое</t>
        </is>
      </c>
      <c r="F85" t="inlineStr">
        <is>
          <t>kaberne-sovinon-3</t>
        </is>
      </c>
      <c r="G85" t="inlineStr">
        <is>
          <t>vinodelnya-begildeeva-kaberne-sovinon-krasnoe-suhoe-14</t>
        </is>
      </c>
      <c r="H85" t="inlineStr">
        <is>
          <t>vinodelnya-begildeeva-kaberne-sovinon-merlo-krasnoe-suhoe-14</t>
        </is>
      </c>
      <c r="I85" t="inlineStr">
        <is>
          <t>kaberne-sovinon-1</t>
        </is>
      </c>
      <c r="J85" t="inlineStr">
        <is>
          <t>kaberne-sovinon-4</t>
        </is>
      </c>
      <c r="K85">
        <f>IF(C85="","",IFERROR(MATCH(C85,F85:J85,0),"нет"))</f>
        <v/>
      </c>
      <c r="L85">
        <f>IF(C85="","",IF(K85=1,1,0))</f>
        <v/>
      </c>
      <c r="M85">
        <f>IF(C85="","",IF(ISNUMBER(K85),1,0))</f>
        <v/>
      </c>
      <c r="N85" t="inlineStr">
        <is>
          <t>Каберне Совиньон — Литавщук. Litavshchuk vineyards &amp; winery — Красное полусухое</t>
        </is>
      </c>
      <c r="O85" t="inlineStr">
        <is>
          <t>Каберне Совиньон — Винодельня Бегильдеева — Красное сухое</t>
        </is>
      </c>
      <c r="P85" t="inlineStr">
        <is>
          <t>Каберне Совиньон – Мерло — Винодельня Бегильдеева — Красное сухое</t>
        </is>
      </c>
      <c r="Q85" t="inlineStr">
        <is>
          <t>Каберне Совиньон — Галицкий и Галицкий — Красное сухое</t>
        </is>
      </c>
      <c r="R85" t="inlineStr">
        <is>
          <t>Каберне Совиньон — Усадьба Перовских — Красное сухое</t>
        </is>
      </c>
      <c r="S85" s="3" t="n">
        <v>0.9999991655349731</v>
      </c>
      <c r="T85" s="3" t="n">
        <v>3.927860063868138e-07</v>
      </c>
      <c r="U85" t="n">
        <v>834.2</v>
      </c>
    </row>
    <row r="86">
      <c r="A86" t="inlineStr">
        <is>
          <t>96.66_22-08-2026_20-44-40.webp</t>
        </is>
      </c>
      <c r="B86" t="inlineStr">
        <is>
          <t>уверенно</t>
        </is>
      </c>
      <c r="C86" t="inlineStr">
        <is>
          <t>perovskih_polusuhoe_krasnoe</t>
        </is>
      </c>
      <c r="D86" t="inlineStr">
        <is>
          <t>Полусухое Красное — Усадьба Перовских — Красное полусухое</t>
        </is>
      </c>
      <c r="F86" t="inlineStr">
        <is>
          <t>perovskih_polusladkoe_krasnoe</t>
        </is>
      </c>
      <c r="G86" t="inlineStr">
        <is>
          <t>perovskih_polusuhoe_krasnoe</t>
        </is>
      </c>
      <c r="H86" t="inlineStr">
        <is>
          <t>perovskih_polusladkoe_beloe</t>
        </is>
      </c>
      <c r="I86" t="inlineStr">
        <is>
          <t>perovskih_polusladkoe_rosovoe</t>
        </is>
      </c>
      <c r="J86" t="inlineStr">
        <is>
          <t>rozovoe-polusuhoe</t>
        </is>
      </c>
      <c r="K86">
        <f>IF(C86="","",IFERROR(MATCH(C86,F86:J86,0),"нет"))</f>
        <v/>
      </c>
      <c r="L86">
        <f>IF(C86="","",IF(K86=1,1,0))</f>
        <v/>
      </c>
      <c r="M86">
        <f>IF(C86="","",IF(ISNUMBER(K86),1,0))</f>
        <v/>
      </c>
      <c r="N86" t="inlineStr">
        <is>
          <t>Полусладкое Красное — Усадьба Перовских — Красное полусладкое</t>
        </is>
      </c>
      <c r="O86" t="inlineStr">
        <is>
          <t>Полусухое Красное — Усадьба Перовских — Красное полусухое</t>
        </is>
      </c>
      <c r="P86" t="inlineStr">
        <is>
          <t>Полусладкое Белое  — Усадьба Перовских — Белое полусладкое</t>
        </is>
      </c>
      <c r="Q86" t="inlineStr">
        <is>
          <t>Полусладкое розовое — Усадьба Перовских — Розовое полусладкое</t>
        </is>
      </c>
      <c r="R86" t="inlineStr">
        <is>
          <t>Розовое полусухое — Усадьба Перовских — Розовое полусухое</t>
        </is>
      </c>
      <c r="S86" s="3" t="n">
        <v>0.9996575117111206</v>
      </c>
      <c r="T86" s="3" t="n">
        <v>4.005157097708434e-05</v>
      </c>
      <c r="U86" t="n">
        <v>681.6</v>
      </c>
    </row>
    <row r="87">
      <c r="A87" t="inlineStr">
        <is>
          <t>96.67_27-08-2026_17-47-05.webp</t>
        </is>
      </c>
      <c r="B87" t="inlineStr">
        <is>
          <t>нет в каталоге</t>
        </is>
      </c>
      <c r="F87" t="inlineStr">
        <is>
          <t>vinodelnya-begildeeva-kaberne-sovinon-krasnoe-suhoe-14</t>
        </is>
      </c>
      <c r="G87" t="inlineStr">
        <is>
          <t>vinodelnya-begildeeva-merlo-krasnoe-suhoe-14</t>
        </is>
      </c>
      <c r="H87" t="inlineStr">
        <is>
          <t>vinodelnya-begildeeva-kaberne-sovinon-merlo-krasnoe-suhoe-14</t>
        </is>
      </c>
      <c r="I87" t="inlineStr">
        <is>
          <t>belbek-beloe-suhoe-kaberne-sovinon-krasnoe-14</t>
        </is>
      </c>
      <c r="J87" t="inlineStr">
        <is>
          <t>soyuz-vino-soyuz-vino-izabella-krasnoe-polusladkoe-11</t>
        </is>
      </c>
      <c r="K87">
        <f>IF(C87="","",IFERROR(MATCH(C87,F87:J87,0),"нет"))</f>
        <v/>
      </c>
      <c r="L87">
        <f>IF(C87="","",IF(K87=1,1,0))</f>
        <v/>
      </c>
      <c r="M87">
        <f>IF(C87="","",IF(ISNUMBER(K87),1,0))</f>
        <v/>
      </c>
      <c r="N87" t="inlineStr">
        <is>
          <t>Каберне Совиньон — Винодельня Бегильдеева — Красное сухое</t>
        </is>
      </c>
      <c r="O87" t="inlineStr">
        <is>
          <t>Мерло — Винодельня Бегильдеева — Красное сухое</t>
        </is>
      </c>
      <c r="P87" t="inlineStr">
        <is>
          <t>Каберне Совиньон – Мерло — Винодельня Бегильдеева — Красное сухое</t>
        </is>
      </c>
      <c r="Q87" t="inlineStr">
        <is>
          <t>Белое сухое — Бельбек — Красное сухое</t>
        </is>
      </c>
      <c r="R87" t="inlineStr">
        <is>
          <t>Союз-Вино Изабелла — Союз-Вино — Красное полусладкое</t>
        </is>
      </c>
      <c r="S87" s="3" t="n">
        <v>0.008511648513376713</v>
      </c>
      <c r="T87" s="3" t="n">
        <v>0.9838128089904785</v>
      </c>
      <c r="U87" t="n">
        <v>554.7</v>
      </c>
    </row>
    <row r="88">
      <c r="A88" t="inlineStr">
        <is>
          <t>96.74_28-08-2026_13-52-26.webp</t>
        </is>
      </c>
      <c r="B88" t="inlineStr">
        <is>
          <t>уверенно</t>
        </is>
      </c>
      <c r="C88" t="inlineStr">
        <is>
          <t>usadba-mezyb-shishka-kupazh-5-kaberne-sovinon-rozovoe-suhoe-133</t>
        </is>
      </c>
      <c r="D88" t="inlineStr">
        <is>
          <t>Шишка. Купаж №5 — Усадьба Мезыбь — Розовое сухое</t>
        </is>
      </c>
      <c r="F88" t="inlineStr">
        <is>
          <t>usadba-mezyb-shishka-kupazh-5-kaberne-sovinon-rozovoe-suhoe-133</t>
        </is>
      </c>
      <c r="G88" t="inlineStr">
        <is>
          <t>usadba-mezyb-shishka-pino-nuar-rozovoe-suhoe-115</t>
        </is>
      </c>
      <c r="H88" t="inlineStr">
        <is>
          <t>usadba-mezyb-shishka-oranzh-shardone-beloe-suhoe-127</t>
        </is>
      </c>
      <c r="I88" t="inlineStr">
        <is>
          <t>usadba-mezyb-shishka-shenen-blan-sovinon-blan-beloe-suhoe-126</t>
        </is>
      </c>
      <c r="J88" t="inlineStr">
        <is>
          <t>usadba-mezyb-shishka-shenen-blan-beloe-suhoe-13</t>
        </is>
      </c>
      <c r="K88">
        <f>IF(C88="","",IFERROR(MATCH(C88,F88:J88,0),"нет"))</f>
        <v/>
      </c>
      <c r="L88">
        <f>IF(C88="","",IF(K88=1,1,0))</f>
        <v/>
      </c>
      <c r="M88">
        <f>IF(C88="","",IF(ISNUMBER(K88),1,0))</f>
        <v/>
      </c>
      <c r="N88" t="inlineStr">
        <is>
          <t>Шишка. Купаж №5 — Усадьба Мезыбь — Розовое сухое</t>
        </is>
      </c>
      <c r="O88" t="inlineStr">
        <is>
          <t>Шишка. Пино Нуар — Усадьба Мезыбь — Розовое сухое</t>
        </is>
      </c>
      <c r="P88" t="inlineStr">
        <is>
          <t>Шишка. Оранж — Усадьба Мезыбь — Белое сухое</t>
        </is>
      </c>
      <c r="Q88" t="inlineStr">
        <is>
          <t>Шишка. Шенен Блан, Совиньон Блан — Усадьба Мезыбь — Белое сухое</t>
        </is>
      </c>
      <c r="R88" t="inlineStr">
        <is>
          <t>Шишка. Шенен Блан — Усадьба Мезыбь — Белое сухое</t>
        </is>
      </c>
      <c r="S88" s="3" t="n">
        <v>0.9999961853027344</v>
      </c>
      <c r="T88" s="3" t="n">
        <v>9.93115705227865e-08</v>
      </c>
      <c r="U88" t="n">
        <v>1752.4</v>
      </c>
    </row>
    <row r="89">
      <c r="A89" t="inlineStr">
        <is>
          <t>96.76_07-09-2026_14-57-04.webp</t>
        </is>
      </c>
      <c r="B89" t="inlineStr">
        <is>
          <t>уверенно</t>
        </is>
      </c>
      <c r="C89" t="inlineStr">
        <is>
          <t>pozdnij-sbor-krasnoe</t>
        </is>
      </c>
      <c r="D89" t="inlineStr">
        <is>
          <t>Поздний сбор, Красное — Литавщук. Litavshchuk vineyards &amp; winery — Красное сладкое</t>
        </is>
      </c>
      <c r="F89" t="inlineStr">
        <is>
          <t>pozdnij-sbor-krasnoe</t>
        </is>
      </c>
      <c r="G89" t="inlineStr">
        <is>
          <t>pozdnij-sbor-beloe</t>
        </is>
      </c>
      <c r="H89" t="inlineStr">
        <is>
          <t>usadba-aleksandrovskaya-bubnovyy-valet-kaberne-sovinon-krasnoe-polusladkoe-13</t>
        </is>
      </c>
      <c r="I89" t="inlineStr">
        <is>
          <t>kokur-premium</t>
        </is>
      </c>
      <c r="J89" t="inlineStr">
        <is>
          <t>kaberne-sovinon-4</t>
        </is>
      </c>
      <c r="K89">
        <f>IF(C89="","",IFERROR(MATCH(C89,F89:J89,0),"нет"))</f>
        <v/>
      </c>
      <c r="L89">
        <f>IF(C89="","",IF(K89=1,1,0))</f>
        <v/>
      </c>
      <c r="M89">
        <f>IF(C89="","",IF(ISNUMBER(K89),1,0))</f>
        <v/>
      </c>
      <c r="N89" t="inlineStr">
        <is>
          <t>Поздний сбор, Красное — Литавщук. Litavshchuk vineyards &amp; winery — Красное сладкое</t>
        </is>
      </c>
      <c r="O89" t="inlineStr">
        <is>
          <t>Поздний сбор  Белое — Литавщук. Litavshchuk vineyards &amp; winery — Белое сладкое</t>
        </is>
      </c>
      <c r="P89" t="inlineStr">
        <is>
          <t>Бубновый Валет — Усадьба Александровская — Красное полусладкое</t>
        </is>
      </c>
      <c r="Q89" t="inlineStr">
        <is>
          <t>Кокур Премиум — Массандра — Белое сухое</t>
        </is>
      </c>
      <c r="R89" t="inlineStr">
        <is>
          <t>Каберне Совиньон — Усадьба Перовских — Красное сухое</t>
        </is>
      </c>
      <c r="S89" s="3" t="n">
        <v>0.9995625615119934</v>
      </c>
      <c r="T89" s="3" t="n">
        <v>2.698397452149948e-07</v>
      </c>
      <c r="U89" t="n">
        <v>739.5</v>
      </c>
    </row>
    <row r="90">
      <c r="A90" t="inlineStr">
        <is>
          <t>96.77_24-08-2026_14-10-46.webp</t>
        </is>
      </c>
      <c r="B90" t="inlineStr">
        <is>
          <t>уверенно</t>
        </is>
      </c>
      <c r="C90" t="inlineStr">
        <is>
          <t>golubitskoe-estate-red-blend-kaberne-sovinon-krasnoe-suhoe-136</t>
        </is>
      </c>
      <c r="D90" t="inlineStr">
        <is>
          <t>Red Blend — Golubitskoe Estate — Красное сухое</t>
        </is>
      </c>
      <c r="F90" t="inlineStr">
        <is>
          <t>golubitskoe-estate-red-blend-kaberne-sovinon-krasnoe-suhoe-136</t>
        </is>
      </c>
      <c r="G90" t="inlineStr">
        <is>
          <t>pomeste-golubitskoe-kaberne-sovinon-rezerv-krasnoe-suhoe-143</t>
        </is>
      </c>
      <c r="H90" t="inlineStr">
        <is>
          <t>golubitskoe-estate-winery-series-roze-blend-kaberne-sovinon-rozovoe-suhoe-117</t>
        </is>
      </c>
      <c r="I90" t="inlineStr">
        <is>
          <t>golubitskoe-estate-winery-series-pino-nuar-rozovoe-suhoe-115</t>
        </is>
      </c>
      <c r="J90" t="inlineStr">
        <is>
          <t>golubitskoe-estate-kaberne-sovinon-rezerv-krasnoe-suhoe-125</t>
        </is>
      </c>
      <c r="K90">
        <f>IF(C90="","",IFERROR(MATCH(C90,F90:J90,0),"нет"))</f>
        <v/>
      </c>
      <c r="L90">
        <f>IF(C90="","",IF(K90=1,1,0))</f>
        <v/>
      </c>
      <c r="M90">
        <f>IF(C90="","",IF(ISNUMBER(K90),1,0))</f>
        <v/>
      </c>
      <c r="N90" t="inlineStr">
        <is>
          <t>Red Blend — Golubitskoe Estate — Красное сухое</t>
        </is>
      </c>
      <c r="O90" t="inlineStr">
        <is>
          <t>Каберне Совиньон Резерв — Golubitskoe Estate — Красное сухое</t>
        </is>
      </c>
      <c r="P90" t="inlineStr">
        <is>
          <t>Winery Series. Розе бленд — Golubitskoe Estate — Розовое сухое</t>
        </is>
      </c>
      <c r="Q90" t="inlineStr">
        <is>
          <t>Winery Series. Пино Нуар — Golubitskoe Estate — Розовое сухое</t>
        </is>
      </c>
      <c r="R90" t="inlineStr">
        <is>
          <t>Каберне Совиньон Резерв — Golubitskoe Estate — Красное сухое</t>
        </is>
      </c>
      <c r="S90" s="3" t="n">
        <v>0.9996262788772583</v>
      </c>
      <c r="T90" s="3" t="n">
        <v>1.300243638979737e-05</v>
      </c>
      <c r="U90" t="n">
        <v>676.1</v>
      </c>
    </row>
    <row r="91">
      <c r="A91" t="inlineStr">
        <is>
          <t>96.78_25-08-2026_18-04-42.webp</t>
        </is>
      </c>
      <c r="B91" t="inlineStr">
        <is>
          <t>исключено</t>
        </is>
      </c>
      <c r="E91" t="inlineStr">
        <is>
          <t>здесь на фото 2 вина разных</t>
        </is>
      </c>
      <c r="F91" t="inlineStr">
        <is>
          <t>czitronnyj-magaracha</t>
        </is>
      </c>
      <c r="G91" t="inlineStr">
        <is>
          <t>risling-1</t>
        </is>
      </c>
      <c r="H91" t="inlineStr">
        <is>
          <t>rubin-golodrigi</t>
        </is>
      </c>
      <c r="I91" t="inlineStr">
        <is>
          <t>kaberne-sovinon-2</t>
        </is>
      </c>
      <c r="J91" t="inlineStr">
        <is>
          <t>bukovinka</t>
        </is>
      </c>
      <c r="K91">
        <f>IF(C91="","",IFERROR(MATCH(C91,F91:J91,0),"нет"))</f>
        <v/>
      </c>
      <c r="L91">
        <f>IF(C91="","",IF(K91=1,1,0))</f>
        <v/>
      </c>
      <c r="M91">
        <f>IF(C91="","",IF(ISNUMBER(K91),1,0))</f>
        <v/>
      </c>
      <c r="N91" t="inlineStr">
        <is>
          <t>Цитрон — Табия — Белое сухое</t>
        </is>
      </c>
      <c r="O91" t="inlineStr">
        <is>
          <t>Рислинг — Табия — Белое полусухое</t>
        </is>
      </c>
      <c r="P91" t="inlineStr">
        <is>
          <t>Рубин Голодриги  — Табия — Красное сухое</t>
        </is>
      </c>
      <c r="Q91" t="inlineStr">
        <is>
          <t>Каберне Совиньон — Табия — Красное сухое</t>
        </is>
      </c>
      <c r="R91" t="inlineStr">
        <is>
          <t>Буковинка — Табия — Белое полусухое</t>
        </is>
      </c>
      <c r="S91" s="3" t="n">
        <v>0.9999898672103882</v>
      </c>
      <c r="T91" s="3" t="n">
        <v>1.553484594296606e-06</v>
      </c>
      <c r="U91" t="n">
        <v>564.5</v>
      </c>
    </row>
    <row r="92">
      <c r="A92" t="inlineStr">
        <is>
          <t>96.79_20-08-2026_17-48-31.webp</t>
        </is>
      </c>
      <c r="B92" t="inlineStr">
        <is>
          <t>уверенно</t>
        </is>
      </c>
      <c r="C92" t="inlineStr">
        <is>
          <t>oleg</t>
        </is>
      </c>
      <c r="D92" t="inlineStr">
        <is>
          <t>Олег — Табия — Белое сухое</t>
        </is>
      </c>
      <c r="F92" t="inlineStr">
        <is>
          <t>oleg</t>
        </is>
      </c>
      <c r="G92" t="inlineStr">
        <is>
          <t>kaberne-sovinon-2</t>
        </is>
      </c>
      <c r="H92" t="inlineStr">
        <is>
          <t>bukovinka</t>
        </is>
      </c>
      <c r="I92" t="inlineStr">
        <is>
          <t>roze-2</t>
        </is>
      </c>
      <c r="J92" t="inlineStr">
        <is>
          <t>rubin-golodrigi</t>
        </is>
      </c>
      <c r="K92">
        <f>IF(C92="","",IFERROR(MATCH(C92,F92:J92,0),"нет"))</f>
        <v/>
      </c>
      <c r="L92">
        <f>IF(C92="","",IF(K92=1,1,0))</f>
        <v/>
      </c>
      <c r="M92">
        <f>IF(C92="","",IF(ISNUMBER(K92),1,0))</f>
        <v/>
      </c>
      <c r="N92" t="inlineStr">
        <is>
          <t>Олег — Табия — Белое сухое</t>
        </is>
      </c>
      <c r="O92" t="inlineStr">
        <is>
          <t>Каберне Совиньон — Табия — Красное сухое</t>
        </is>
      </c>
      <c r="P92" t="inlineStr">
        <is>
          <t>Буковинка — Табия — Белое полусухое</t>
        </is>
      </c>
      <c r="Q92" t="inlineStr">
        <is>
          <t>Розе — Табия — Розовое сухое</t>
        </is>
      </c>
      <c r="R92" t="inlineStr">
        <is>
          <t>Рубин Голодриги  — Табия — Красное сухое</t>
        </is>
      </c>
      <c r="S92" s="3" t="n">
        <v>0.999974250793457</v>
      </c>
      <c r="T92" s="3" t="n">
        <v>1.892501859401818e-05</v>
      </c>
      <c r="U92" t="n">
        <v>516.3</v>
      </c>
    </row>
    <row r="93">
      <c r="A93" t="inlineStr">
        <is>
          <t>96.79_28-08-2026_22-05-22.webp</t>
        </is>
      </c>
      <c r="B93" t="inlineStr">
        <is>
          <t>уверенно</t>
        </is>
      </c>
      <c r="C93" t="inlineStr">
        <is>
          <t>vinodelnya-vedernikov-vedernikov-dolina-dona-beloe-suhoe-aligote-12</t>
        </is>
      </c>
      <c r="D93" t="inlineStr">
        <is>
          <t>Ведерниковъ Долина Дона Белое Сухое — Ведерниковъ — Белое сухое</t>
        </is>
      </c>
      <c r="F93" t="inlineStr">
        <is>
          <t>vinodelnya-vedernikov-vedernikov-dolina-dona-beloe-suhoe-aligote-12</t>
        </is>
      </c>
      <c r="G93" t="inlineStr">
        <is>
          <t>vinodelnya-vedernikov-sibirkovyy-beloe-suhoe-11</t>
        </is>
      </c>
      <c r="H93" t="inlineStr">
        <is>
          <t>vinodelnya-vedernikov-vedernikov-dolina-dona-krasnoe-suhoe-kaberne-sovinon-125</t>
        </is>
      </c>
      <c r="I93" t="inlineStr">
        <is>
          <t>vinodelnya-vedernikov-krasnostop-zolotovskiy-krasnoe-suhoe-13</t>
        </is>
      </c>
      <c r="J93" t="inlineStr">
        <is>
          <t>vinodelnya-vedernikov-gubernatorskoe-risling-beloe-suhoe-12</t>
        </is>
      </c>
      <c r="K93">
        <f>IF(C93="","",IFERROR(MATCH(C93,F93:J93,0),"нет"))</f>
        <v/>
      </c>
      <c r="L93">
        <f>IF(C93="","",IF(K93=1,1,0))</f>
        <v/>
      </c>
      <c r="M93">
        <f>IF(C93="","",IF(ISNUMBER(K93),1,0))</f>
        <v/>
      </c>
      <c r="N93" t="inlineStr">
        <is>
          <t>Ведерниковъ Долина Дона Белое Сухое — Ведерниковъ — Белое сухое</t>
        </is>
      </c>
      <c r="O93" t="inlineStr">
        <is>
          <t>Сибирьковый — Ведерниковъ — Белое сухое</t>
        </is>
      </c>
      <c r="P93" t="inlineStr">
        <is>
          <t>Ведерниковъ Долина Дона Красное Сухое — Ведерниковъ — Красное сухое</t>
        </is>
      </c>
      <c r="Q93" t="inlineStr">
        <is>
          <t>Красностоп Золотовский — Ведерниковъ — Красное сухое</t>
        </is>
      </c>
      <c r="R93" t="inlineStr">
        <is>
          <t>Губернаторское. Рислинг — Ведерниковъ — Белое сухое</t>
        </is>
      </c>
      <c r="S93" s="3" t="n">
        <v>0.9996846914291382</v>
      </c>
      <c r="T93" s="3" t="n">
        <v>1.759791189215321e-06</v>
      </c>
      <c r="U93" t="n">
        <v>626.8</v>
      </c>
    </row>
    <row r="94">
      <c r="A94" t="inlineStr">
        <is>
          <t>96.7_28-08-2026_13-50-21.webp</t>
        </is>
      </c>
      <c r="B94" t="inlineStr">
        <is>
          <t>нет в каталоге</t>
        </is>
      </c>
      <c r="F94" t="inlineStr">
        <is>
          <t>usadba-divnomorskoe-solist-marselan-rozovoe-suhoe-115</t>
        </is>
      </c>
      <c r="G94" t="inlineStr">
        <is>
          <t>usadba-divnomorskoe-yuzhnyy-les-merlo-krasnoe-suhoe-137</t>
        </is>
      </c>
      <c r="H94" t="inlineStr">
        <is>
          <t>usadba-divnomorskoe-holodnyy-tuman-risling-beloe-suhoe-115</t>
        </is>
      </c>
      <c r="I94" t="inlineStr">
        <is>
          <t>usadba-divnomorskoe-solnechnyy-veter-shardone-beloe-suhoe-125</t>
        </is>
      </c>
      <c r="J94" t="inlineStr">
        <is>
          <t>vinodelnya-vedernikov-vedernikov-krasnostop-zolotovskiy-magnum-krasnoe-suhoe-145</t>
        </is>
      </c>
      <c r="K94">
        <f>IF(C94="","",IFERROR(MATCH(C94,F94:J94,0),"нет"))</f>
        <v/>
      </c>
      <c r="L94">
        <f>IF(C94="","",IF(K94=1,1,0))</f>
        <v/>
      </c>
      <c r="M94">
        <f>IF(C94="","",IF(ISNUMBER(K94),1,0))</f>
        <v/>
      </c>
      <c r="N94" t="inlineStr">
        <is>
          <t>Солист — Усадьба Дивноморское — Розовое сухое</t>
        </is>
      </c>
      <c r="O94" t="inlineStr">
        <is>
          <t>Южный Лес — Усадьба Дивноморское — Красное сухое</t>
        </is>
      </c>
      <c r="P94" t="inlineStr">
        <is>
          <t>Холодный Туман — Усадьба Дивноморское — Белое сухое</t>
        </is>
      </c>
      <c r="Q94" t="inlineStr">
        <is>
          <t>Солнечный Ветер — Усадьба Дивноморское — Белое сухое</t>
        </is>
      </c>
      <c r="R94" t="inlineStr">
        <is>
          <t>Ведерниковъ Красностоп Золотовский (магнум) — Ведерниковъ — Красное сухое</t>
        </is>
      </c>
      <c r="S94" s="3" t="n">
        <v>0.6195282936096191</v>
      </c>
      <c r="T94" s="3" t="n">
        <v>0.001535657094791532</v>
      </c>
      <c r="U94" t="n">
        <v>1120.2</v>
      </c>
    </row>
    <row r="95">
      <c r="A95" t="inlineStr">
        <is>
          <t>96.83_20-08-2026_17-48-13.webp</t>
        </is>
      </c>
      <c r="B95" t="inlineStr">
        <is>
          <t>уверенно</t>
        </is>
      </c>
      <c r="C95" t="inlineStr">
        <is>
          <t>oleg</t>
        </is>
      </c>
      <c r="D95" t="inlineStr">
        <is>
          <t>Олег — Табия — Белое сухое</t>
        </is>
      </c>
      <c r="F95" t="inlineStr">
        <is>
          <t>oleg</t>
        </is>
      </c>
      <c r="G95" t="inlineStr">
        <is>
          <t>rubin-golodrigi</t>
        </is>
      </c>
      <c r="H95" t="inlineStr">
        <is>
          <t>bukovinka</t>
        </is>
      </c>
      <c r="I95" t="inlineStr">
        <is>
          <t>kaberne-sovinon-2</t>
        </is>
      </c>
      <c r="J95" t="inlineStr">
        <is>
          <t>risling-1</t>
        </is>
      </c>
      <c r="K95">
        <f>IF(C95="","",IFERROR(MATCH(C95,F95:J95,0),"нет"))</f>
        <v/>
      </c>
      <c r="L95">
        <f>IF(C95="","",IF(K95=1,1,0))</f>
        <v/>
      </c>
      <c r="M95">
        <f>IF(C95="","",IF(ISNUMBER(K95),1,0))</f>
        <v/>
      </c>
      <c r="N95" t="inlineStr">
        <is>
          <t>Олег — Табия — Белое сухое</t>
        </is>
      </c>
      <c r="O95" t="inlineStr">
        <is>
          <t>Рубин Голодриги  — Табия — Красное сухое</t>
        </is>
      </c>
      <c r="P95" t="inlineStr">
        <is>
          <t>Буковинка — Табия — Белое полусухое</t>
        </is>
      </c>
      <c r="Q95" t="inlineStr">
        <is>
          <t>Каберне Совиньон — Табия — Красное сухое</t>
        </is>
      </c>
      <c r="R95" t="inlineStr">
        <is>
          <t>Рислинг — Табия — Белое полусухое</t>
        </is>
      </c>
      <c r="S95" s="3" t="n">
        <v>0.9999992847442627</v>
      </c>
      <c r="T95" s="3" t="n">
        <v>4.45084907596538e-07</v>
      </c>
      <c r="U95" t="n">
        <v>571.3</v>
      </c>
    </row>
    <row r="96">
      <c r="A96" t="inlineStr">
        <is>
          <t>96.8_25-08-2026_22-20-38.webp</t>
        </is>
      </c>
      <c r="B96" t="inlineStr">
        <is>
          <t>не уверен</t>
        </is>
      </c>
      <c r="C96" t="inlineStr">
        <is>
          <t>sovinon-blan</t>
        </is>
      </c>
      <c r="D96" t="inlineStr">
        <is>
          <t>Совиньон Блан — Литавщук. Litavshchuk vineyards &amp; winery — Белое полусладкое</t>
        </is>
      </c>
      <c r="E96" t="inlineStr">
        <is>
          <t>то что в slug полусладкое, а на фото полусухое</t>
        </is>
      </c>
      <c r="F96" t="inlineStr">
        <is>
          <t>sovinon-blan</t>
        </is>
      </c>
      <c r="G96" t="inlineStr">
        <is>
          <t>blagolyubov-sovinon-blan-beloe-suhoe-125</t>
        </is>
      </c>
      <c r="H96" t="inlineStr">
        <is>
          <t>vinodelnya-begildeeva-kaberne-sovinon-krasnoe-suhoe-14</t>
        </is>
      </c>
      <c r="I96" t="inlineStr">
        <is>
          <t>dubinin-winery-sovinon-blan-beloe-suhoe-12</t>
        </is>
      </c>
      <c r="J96" t="inlineStr">
        <is>
          <t>vinodelnya-begildeeva-kaberne-sovinon-merlo-krasnoe-suhoe-14</t>
        </is>
      </c>
      <c r="K96">
        <f>IF(C96="","",IFERROR(MATCH(C96,F96:J96,0),"нет"))</f>
        <v/>
      </c>
      <c r="L96">
        <f>IF(C96="","",IF(K96=1,1,0))</f>
        <v/>
      </c>
      <c r="M96">
        <f>IF(C96="","",IF(ISNUMBER(K96),1,0))</f>
        <v/>
      </c>
      <c r="N96" t="inlineStr">
        <is>
          <t>Совиньон Блан — Литавщук. Litavshchuk vineyards &amp; winery — Белое полусладкое</t>
        </is>
      </c>
      <c r="O96" t="inlineStr">
        <is>
          <t>Совиньон Блан — Благолюбов — Белое сухое</t>
        </is>
      </c>
      <c r="P96" t="inlineStr">
        <is>
          <t>Каберне Совиньон — Винодельня Бегильдеева — Красное сухое</t>
        </is>
      </c>
      <c r="Q96" t="inlineStr">
        <is>
          <t>Совиньон Блан — Dubinin Winery — Белое сухое</t>
        </is>
      </c>
      <c r="R96" t="inlineStr">
        <is>
          <t>Каберне Совиньон – Мерло — Винодельня Бегильдеева — Красное сухое</t>
        </is>
      </c>
      <c r="S96" s="3" t="n">
        <v>0.9999998807907104</v>
      </c>
      <c r="T96" s="3" t="n">
        <v>1.275190442129315e-07</v>
      </c>
      <c r="U96" t="n">
        <v>778.4</v>
      </c>
    </row>
    <row r="97">
      <c r="A97" t="inlineStr">
        <is>
          <t>96.96_05-09-2026_19-02-01.webp</t>
        </is>
      </c>
      <c r="B97" t="inlineStr">
        <is>
          <t>уверенно</t>
        </is>
      </c>
      <c r="C97" t="inlineStr">
        <is>
          <t>denisov_rubin_klaret_krasnaya_strelka</t>
        </is>
      </c>
      <c r="D97" t="inlineStr">
        <is>
          <t>Рубин кларет . Красная стрелка — Denisov Winery — Розовое сухое</t>
        </is>
      </c>
      <c r="F97" t="inlineStr">
        <is>
          <t>denisov_rubin_klaret_krasnaya_strelka</t>
        </is>
      </c>
      <c r="G97" t="inlineStr">
        <is>
          <t>denisov_pino_noir_klaret</t>
        </is>
      </c>
      <c r="H97" t="inlineStr">
        <is>
          <t>vinodelnya-pokrovskaya-pokrovskoe-sladkoe-krasnoe-kaberne-sovinon-13</t>
        </is>
      </c>
      <c r="I97" t="inlineStr">
        <is>
          <t>usadba-aleksandrovskaya-bubnovyy-valet-kaberne-sovinon-krasnoe-polusladkoe-13</t>
        </is>
      </c>
      <c r="J97" t="inlineStr">
        <is>
          <t>vinodelnya-78-aligote-otbornoe-beloe-suhoe-12</t>
        </is>
      </c>
      <c r="K97">
        <f>IF(C97="","",IFERROR(MATCH(C97,F97:J97,0),"нет"))</f>
        <v/>
      </c>
      <c r="L97">
        <f>IF(C97="","",IF(K97=1,1,0))</f>
        <v/>
      </c>
      <c r="M97">
        <f>IF(C97="","",IF(ISNUMBER(K97),1,0))</f>
        <v/>
      </c>
      <c r="N97" t="inlineStr">
        <is>
          <t>Рубин кларет . Красная стрелка — Denisov Winery — Розовое сухое</t>
        </is>
      </c>
      <c r="O97" t="inlineStr">
        <is>
          <t>Пино Нуар кларет. Красная стрелка — Denisov Winery — Розовое сухое</t>
        </is>
      </c>
      <c r="P97" t="inlineStr">
        <is>
          <t>Покровское сладкое красное — Винодельня Покровская — Красное сладкое</t>
        </is>
      </c>
      <c r="Q97" t="inlineStr">
        <is>
          <t>Бубновый Валет — Усадьба Александровская — Красное полусладкое</t>
        </is>
      </c>
      <c r="R97" t="inlineStr">
        <is>
          <t>Алиготе Отборное — Винодельня 78 — Белое сухое</t>
        </is>
      </c>
      <c r="S97" s="3" t="n">
        <v>0.9999986886978149</v>
      </c>
      <c r="T97" s="3" t="n">
        <v>9.422442417417187e-07</v>
      </c>
      <c r="U97" t="n">
        <v>881.6</v>
      </c>
    </row>
    <row r="98">
      <c r="A98" t="inlineStr">
        <is>
          <t>96.98_19-08-2026_19-05-06.webp</t>
        </is>
      </c>
      <c r="B98" t="inlineStr">
        <is>
          <t>уверенно</t>
        </is>
      </c>
      <c r="C98" t="inlineStr">
        <is>
          <t>czitronnyj-magaracha</t>
        </is>
      </c>
      <c r="D98" t="inlineStr">
        <is>
          <t>Цитрон — Табия — Белое сухое</t>
        </is>
      </c>
      <c r="E98" t="inlineStr">
        <is>
          <t>в slug сухое, а нужно полусухое, но полусухого нет</t>
        </is>
      </c>
      <c r="F98" t="inlineStr">
        <is>
          <t>czitronnyj-magaracha</t>
        </is>
      </c>
      <c r="G98" t="inlineStr">
        <is>
          <t>risling-1</t>
        </is>
      </c>
      <c r="H98" t="inlineStr">
        <is>
          <t>oleg</t>
        </is>
      </c>
      <c r="I98" t="inlineStr">
        <is>
          <t>bukovinka</t>
        </is>
      </c>
      <c r="J98" t="inlineStr">
        <is>
          <t>rubin-golodrigi</t>
        </is>
      </c>
      <c r="K98">
        <f>IF(C98="","",IFERROR(MATCH(C98,F98:J98,0),"нет"))</f>
        <v/>
      </c>
      <c r="L98">
        <f>IF(C98="","",IF(K98=1,1,0))</f>
        <v/>
      </c>
      <c r="M98">
        <f>IF(C98="","",IF(ISNUMBER(K98),1,0))</f>
        <v/>
      </c>
      <c r="N98" t="inlineStr">
        <is>
          <t>Цитрон — Табия — Белое сухое</t>
        </is>
      </c>
      <c r="O98" t="inlineStr">
        <is>
          <t>Рислинг — Табия — Белое полусухое</t>
        </is>
      </c>
      <c r="P98" t="inlineStr">
        <is>
          <t>Олег — Табия — Белое сухое</t>
        </is>
      </c>
      <c r="Q98" t="inlineStr">
        <is>
          <t>Буковинка — Табия — Белое полусухое</t>
        </is>
      </c>
      <c r="R98" t="inlineStr">
        <is>
          <t>Рубин Голодриги  — Табия — Красное сухое</t>
        </is>
      </c>
      <c r="S98" s="3" t="n">
        <v>0.9999996423721313</v>
      </c>
      <c r="T98" s="3" t="n">
        <v>6.023572041158332e-08</v>
      </c>
      <c r="U98" t="n">
        <v>514.8</v>
      </c>
    </row>
    <row r="99">
      <c r="A99" t="inlineStr">
        <is>
          <t>97.02_29-08-2026_18-49-02.webp</t>
        </is>
      </c>
      <c r="B99" t="inlineStr">
        <is>
          <t>нет в каталоге</t>
        </is>
      </c>
      <c r="F99" t="inlineStr">
        <is>
          <t>caperavi-avtorskoe-vino</t>
        </is>
      </c>
      <c r="G99" t="inlineStr">
        <is>
          <t>kaberne-avtorskoe-vino</t>
        </is>
      </c>
      <c r="H99" t="inlineStr">
        <is>
          <t>kaberne-sovinon</t>
        </is>
      </c>
      <c r="I99" t="inlineStr">
        <is>
          <t>massandra-muskatel-rozovyy-belye-sorta-vinograda-rozovoe-sladkoe-16</t>
        </is>
      </c>
      <c r="J99" t="inlineStr">
        <is>
          <t>massandra-bastardo-bastardo-magarachskiy-krasnoe-sladkoe-16</t>
        </is>
      </c>
      <c r="K99">
        <f>IF(C99="","",IFERROR(MATCH(C99,F99:J99,0),"нет"))</f>
        <v/>
      </c>
      <c r="L99">
        <f>IF(C99="","",IF(K99=1,1,0))</f>
        <v/>
      </c>
      <c r="M99">
        <f>IF(C99="","",IF(ISNUMBER(K99),1,0))</f>
        <v/>
      </c>
      <c r="N99" t="inlineStr">
        <is>
          <t>Cаперави. Авторское вино — Массандра — Красное сухое</t>
        </is>
      </c>
      <c r="O99" t="inlineStr">
        <is>
          <t>Каберне. Авторское вино — Массандра — Красное сухое</t>
        </is>
      </c>
      <c r="P99" t="inlineStr">
        <is>
          <t>Каберне Совиньон — Массандра — Красное сладкое</t>
        </is>
      </c>
      <c r="Q99" t="inlineStr">
        <is>
          <t>Мускатель розовый — Массандра — Розовое сладкое</t>
        </is>
      </c>
      <c r="R99" t="inlineStr">
        <is>
          <t>Бастардо — Массандра — Красное сладкое</t>
        </is>
      </c>
      <c r="S99" s="3" t="n">
        <v>0.9999982118606567</v>
      </c>
      <c r="T99" s="3" t="n">
        <v>3.466321345513279e-07</v>
      </c>
      <c r="U99" t="n">
        <v>547.7</v>
      </c>
    </row>
    <row r="100">
      <c r="A100" t="inlineStr">
        <is>
          <t>97.08_05-09-2026_15-30-50.webp</t>
        </is>
      </c>
      <c r="B100" t="inlineStr">
        <is>
          <t>нет в каталоге</t>
        </is>
      </c>
      <c r="F100" t="inlineStr">
        <is>
          <t>fanagoriya-alveus-ultra-cuvee-brut-shardone-beloe-bryut-12</t>
        </is>
      </c>
      <c r="G100" t="inlineStr">
        <is>
          <t>fanagoriya-alveus-ultra-cuvee-ekstra-bryut-beloe-risling-reynskiy-12</t>
        </is>
      </c>
      <c r="H100" t="inlineStr">
        <is>
          <t>fanagoriya-alveus-ultra-cuvee-ekstra-bryut-rozovoe-merlo-12</t>
        </is>
      </c>
      <c r="I100" t="inlineStr">
        <is>
          <t>rozovoe-bryut-1</t>
        </is>
      </c>
      <c r="J100" t="inlineStr">
        <is>
          <t>novyy-svet-dom-shampanskih-vin-igristoe-vino-vyderzhannoe-polusladkoe-rozovoe-novyy-svet-pino-fran-135</t>
        </is>
      </c>
      <c r="K100">
        <f>IF(C100="","",IFERROR(MATCH(C100,F100:J100,0),"нет"))</f>
        <v/>
      </c>
      <c r="L100">
        <f>IF(C100="","",IF(K100=1,1,0))</f>
        <v/>
      </c>
      <c r="M100">
        <f>IF(C100="","",IF(ISNUMBER(K100),1,0))</f>
        <v/>
      </c>
      <c r="N100" t="inlineStr">
        <is>
          <t>Alveus Ultra Cuvee Brut — Фанагория — Белое брют</t>
        </is>
      </c>
      <c r="O100" t="inlineStr">
        <is>
          <t>Alveus Ultra Cuvee. Экстра брют белое — Фанагория — Белое экстра брют</t>
        </is>
      </c>
      <c r="P100" t="inlineStr">
        <is>
          <t>Alveus Ultra Cuvee. Экстра брют розовое — Фанагория — Розовое экстра брют</t>
        </is>
      </c>
      <c r="Q100" t="inlineStr">
        <is>
          <t>Розовое брют — Золотая Балка — Розовое брют</t>
        </is>
      </c>
      <c r="R100" t="inlineStr">
        <is>
          <t>Игристое вино выдержанное полусладкое розовое «Новый Свет. Пино Фран» — Новый Свет. Дом шампанских вин — Розовое полусладкое</t>
        </is>
      </c>
      <c r="S100" s="3" t="n">
        <v>0.3068480789661407</v>
      </c>
      <c r="T100" s="3" t="n">
        <v>0.6495973467826843</v>
      </c>
      <c r="U100" t="n">
        <v>827.9</v>
      </c>
    </row>
    <row r="101">
      <c r="A101" t="inlineStr">
        <is>
          <t>97.23_05-09-2026_15-34-36.webp</t>
        </is>
      </c>
      <c r="B101" t="inlineStr">
        <is>
          <t>не уверен</t>
        </is>
      </c>
      <c r="C101" t="inlineStr">
        <is>
          <t>sovinon-blan</t>
        </is>
      </c>
      <c r="D101" t="inlineStr">
        <is>
          <t>Совиньон Блан — Литавщук. Litavshchuk vineyards &amp; winery — Белое полусладкое</t>
        </is>
      </c>
      <c r="E101" t="inlineStr">
        <is>
          <t>то что в slug полусладкое, а на фото полусухое</t>
        </is>
      </c>
      <c r="F101" t="inlineStr">
        <is>
          <t>sovinon-blan</t>
        </is>
      </c>
      <c r="G101" t="inlineStr">
        <is>
          <t>vinodelnya-begildeeva-kaberne-sovinon-krasnoe-suhoe-14</t>
        </is>
      </c>
      <c r="H101" t="inlineStr">
        <is>
          <t>kaberne-sovinon-3</t>
        </is>
      </c>
      <c r="I101" t="inlineStr">
        <is>
          <t>blagolyubov-sovinon-blan-beloe-suhoe-125</t>
        </is>
      </c>
      <c r="J101" t="inlineStr">
        <is>
          <t>vinodelnya-begildeeva-kaberne-sovinon-merlo-krasnoe-suhoe-14</t>
        </is>
      </c>
      <c r="K101">
        <f>IF(C101="","",IFERROR(MATCH(C101,F101:J101,0),"нет"))</f>
        <v/>
      </c>
      <c r="L101">
        <f>IF(C101="","",IF(K101=1,1,0))</f>
        <v/>
      </c>
      <c r="M101">
        <f>IF(C101="","",IF(ISNUMBER(K101),1,0))</f>
        <v/>
      </c>
      <c r="N101" t="inlineStr">
        <is>
          <t>Совиньон Блан — Литавщук. Litavshchuk vineyards &amp; winery — Белое полусладкое</t>
        </is>
      </c>
      <c r="O101" t="inlineStr">
        <is>
          <t>Каберне Совиньон — Винодельня Бегильдеева — Красное сухое</t>
        </is>
      </c>
      <c r="P101" t="inlineStr">
        <is>
          <t>Каберне Совиньон — Литавщук. Litavshchuk vineyards &amp; winery — Красное полусухое</t>
        </is>
      </c>
      <c r="Q101" t="inlineStr">
        <is>
          <t>Совиньон Блан — Благолюбов — Белое сухое</t>
        </is>
      </c>
      <c r="R101" t="inlineStr">
        <is>
          <t>Каберне Совиньон – Мерло — Винодельня Бегильдеева — Красное сухое</t>
        </is>
      </c>
      <c r="S101" s="3" t="n">
        <v>0.9999998807907104</v>
      </c>
      <c r="T101" s="3" t="n">
        <v>1.125351616337866e-07</v>
      </c>
      <c r="U101" t="n">
        <v>1046.9</v>
      </c>
    </row>
  </sheetData>
  <autoFilter ref="A1:U101"/>
  <conditionalFormatting sqref="F2:J101">
    <cfRule type="expression" priority="1" dxfId="0">
      <formula>AND($C2&lt;&gt;"",F2=$C2)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34" customWidth="1" min="3" max="3"/>
    <col width="40" customWidth="1" min="4" max="4"/>
    <col width="30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9" customWidth="1" min="11" max="11"/>
    <col width="9" customWidth="1" min="12" max="12"/>
    <col width="9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12" customWidth="1" min="19" max="19"/>
    <col width="12" customWidth="1" min="20" max="20"/>
    <col width="10" customWidth="1" min="21" max="21"/>
  </cols>
  <sheetData>
    <row r="1">
      <c r="A1" s="5" t="inlineStr">
        <is>
          <t>Фото</t>
        </is>
      </c>
      <c r="B1" s="5" t="inlineStr">
        <is>
          <t>Статус разметки</t>
        </is>
      </c>
      <c r="C1" s="5" t="inlineStr">
        <is>
          <t>target</t>
        </is>
      </c>
      <c r="D1" s="5" t="inlineStr">
        <is>
          <t>target: вино</t>
        </is>
      </c>
      <c r="E1" s="5" t="inlineStr">
        <is>
          <t>Комментарий разметчика</t>
        </is>
      </c>
      <c r="F1" s="5" t="inlineStr">
        <is>
          <t>top-1</t>
        </is>
      </c>
      <c r="G1" s="5" t="inlineStr">
        <is>
          <t>top-2</t>
        </is>
      </c>
      <c r="H1" s="5" t="inlineStr">
        <is>
          <t>top-3</t>
        </is>
      </c>
      <c r="I1" s="5" t="inlineStr">
        <is>
          <t>top-4</t>
        </is>
      </c>
      <c r="J1" s="5" t="inlineStr">
        <is>
          <t>top-5</t>
        </is>
      </c>
      <c r="K1" s="5" t="inlineStr">
        <is>
          <t>Ранг target</t>
        </is>
      </c>
      <c r="L1" s="5" t="inlineStr">
        <is>
          <t>Верно top-1</t>
        </is>
      </c>
      <c r="M1" s="5" t="inlineStr">
        <is>
          <t>Верно top-5</t>
        </is>
      </c>
      <c r="N1" s="5" t="inlineStr">
        <is>
          <t>top-1: вино</t>
        </is>
      </c>
      <c r="O1" s="5" t="inlineStr">
        <is>
          <t>top-2: вино</t>
        </is>
      </c>
      <c r="P1" s="5" t="inlineStr">
        <is>
          <t>top-3: вино</t>
        </is>
      </c>
      <c r="Q1" s="5" t="inlineStr">
        <is>
          <t>top-4: вино</t>
        </is>
      </c>
      <c r="R1" s="5" t="inlineStr">
        <is>
          <t>top-5: вино</t>
        </is>
      </c>
      <c r="S1" s="5" t="inlineStr">
        <is>
          <t>top-1: вероятность VLM</t>
        </is>
      </c>
      <c r="T1" s="5" t="inlineStr">
        <is>
          <t>«нет в списке» (VLM)</t>
        </is>
      </c>
      <c r="U1" s="5" t="inlineStr">
        <is>
          <t>VLM, мс</t>
        </is>
      </c>
    </row>
    <row r="2">
      <c r="A2" t="inlineStr">
        <is>
          <t>1.73_06-09-2026_14-54-06.webp</t>
        </is>
      </c>
      <c r="B2" t="inlineStr">
        <is>
          <t>не уверен</t>
        </is>
      </c>
      <c r="C2" t="inlineStr">
        <is>
          <t>fanagoriya-rose-kaberne-fran-rozovoe-suhoe-13</t>
        </is>
      </c>
      <c r="D2" t="inlineStr">
        <is>
          <t>Rose. Каберне Фран — Фанагория — Розовое сухое</t>
        </is>
      </c>
      <c r="E2" t="inlineStr">
        <is>
          <t>договоримся так, после __ я буду писать свои комментарии. этого вина нет в наборе, но я не уверен</t>
        </is>
      </c>
      <c r="F2" t="inlineStr">
        <is>
          <t>rozovoe-polusladkoe</t>
        </is>
      </c>
      <c r="G2" t="inlineStr">
        <is>
          <t>vinodelnya-pokrovskaya-marinka-marinovskiy-rozovoe-suhoe-123</t>
        </is>
      </c>
      <c r="H2" t="inlineStr">
        <is>
          <t>zolotaya-balka-pink-sira-rozovoe-suhoe-13</t>
        </is>
      </c>
      <c r="I2" t="inlineStr">
        <is>
          <t>roze-1</t>
        </is>
      </c>
      <c r="J2" t="inlineStr">
        <is>
          <t>fanagoriya-beloe-polusladkoe</t>
        </is>
      </c>
      <c r="K2">
        <f>IF(C2="","",IFERROR(MATCH(C2,F2:J2,0),"нет"))</f>
        <v/>
      </c>
      <c r="L2">
        <f>IF(C2="","",IF(K2=1,1,0))</f>
        <v/>
      </c>
      <c r="M2">
        <f>IF(C2="","",IF(ISNUMBER(K2),1,0))</f>
        <v/>
      </c>
      <c r="N2" t="inlineStr">
        <is>
          <t>Розовое полусладкое — Фанагория — Розовое полусладкое</t>
        </is>
      </c>
      <c r="O2" t="inlineStr">
        <is>
          <t>Маринка — Винодельня Покровская — Розовое сухое</t>
        </is>
      </c>
      <c r="P2" t="inlineStr">
        <is>
          <t>Pink — Золотая Балка — Розовое сухое</t>
        </is>
      </c>
      <c r="Q2" t="inlineStr">
        <is>
          <t>Розе — Галицкий и Галицкий — Розовое сухое</t>
        </is>
      </c>
      <c r="R2" t="inlineStr">
        <is>
          <t>Фанагория белое полусладкое — Фанагория — Белое полусладкое</t>
        </is>
      </c>
      <c r="S2" s="3" t="n">
        <v>0.9248746037483215</v>
      </c>
      <c r="T2" s="3" t="n">
        <v>0.06699769198894501</v>
      </c>
      <c r="U2" t="n">
        <v>677.8099999999999</v>
      </c>
    </row>
    <row r="3">
      <c r="A3" t="inlineStr">
        <is>
          <t>2.69_27-08-2026_14-29-00.webp</t>
        </is>
      </c>
      <c r="B3" t="inlineStr">
        <is>
          <t>нет в каталоге</t>
        </is>
      </c>
      <c r="F3" t="inlineStr">
        <is>
          <t>shato-pino-gravitatsiya-kaberne-sovinon-merlo-krasnoe-suhoe-135</t>
        </is>
      </c>
      <c r="G3" t="inlineStr">
        <is>
          <t>shato-pino-marselan-merlo-krasnoe-suhoe-13</t>
        </is>
      </c>
      <c r="H3" t="inlineStr">
        <is>
          <t>shato-pino-sovinon-blan-semilon-beloe-suhoe-115</t>
        </is>
      </c>
      <c r="I3" t="inlineStr">
        <is>
          <t>shato-pino-pino-nuar-pino-gri-rozovoe-suhoe-115</t>
        </is>
      </c>
      <c r="J3" t="inlineStr">
        <is>
          <t>shato-pino-shato-pino-koldun-merlo-krasnoe-suhoe-137</t>
        </is>
      </c>
      <c r="K3">
        <f>IF(C3="","",IFERROR(MATCH(C3,F3:J3,0),"нет"))</f>
        <v/>
      </c>
      <c r="L3">
        <f>IF(C3="","",IF(K3=1,1,0))</f>
        <v/>
      </c>
      <c r="M3">
        <f>IF(C3="","",IF(ISNUMBER(K3),1,0))</f>
        <v/>
      </c>
      <c r="N3" t="inlineStr">
        <is>
          <t>Гравитация. Каберне Совиньон - Мерло — Шато Пино — Красное сухое</t>
        </is>
      </c>
      <c r="O3" t="inlineStr">
        <is>
          <t>Марселан - Мерло — Шато Пино — Красное сухое</t>
        </is>
      </c>
      <c r="P3" t="inlineStr">
        <is>
          <t>Совиньон Блан - Семильон — Шато Пино — Белое сухое</t>
        </is>
      </c>
      <c r="Q3" t="inlineStr">
        <is>
          <t>Пино Нуар - Пино Гри — Шато Пино — Розовое сухое</t>
        </is>
      </c>
      <c r="R3" t="inlineStr">
        <is>
          <t>Шато Пино «Колдун» — Шато Пино — Красное сухое</t>
        </is>
      </c>
      <c r="S3" s="3" t="n">
        <v>0.660377025604248</v>
      </c>
      <c r="T3" s="3" t="n">
        <v>0.3119400143623352</v>
      </c>
      <c r="U3" t="n">
        <v>618.76</v>
      </c>
    </row>
    <row r="4">
      <c r="A4" t="inlineStr">
        <is>
          <t>41.8_22-08-2026_20-56-40.webp</t>
        </is>
      </c>
      <c r="B4" t="inlineStr">
        <is>
          <t>нет в каталоге</t>
        </is>
      </c>
      <c r="F4" t="inlineStr">
        <is>
          <t>usadba-mezyb-shishka-pino-nuar-rozovoe-suhoe-115</t>
        </is>
      </c>
      <c r="G4" t="inlineStr">
        <is>
          <t>pino-nuar</t>
        </is>
      </c>
      <c r="H4" t="inlineStr">
        <is>
          <t>bakla-vines-pino-nuar-krasnoe-suhoe-125</t>
        </is>
      </c>
      <c r="I4" t="inlineStr">
        <is>
          <t>vaynkraft-pino-nuar-krasnoe-suhoe-13</t>
        </is>
      </c>
      <c r="J4" t="inlineStr">
        <is>
          <t>usadba-perovskih-pino-nuar-rezerv-krasnoe-suhoe-122</t>
        </is>
      </c>
      <c r="K4">
        <f>IF(C4="","",IFERROR(MATCH(C4,F4:J4,0),"нет"))</f>
        <v/>
      </c>
      <c r="L4">
        <f>IF(C4="","",IF(K4=1,1,0))</f>
        <v/>
      </c>
      <c r="M4">
        <f>IF(C4="","",IF(ISNUMBER(K4),1,0))</f>
        <v/>
      </c>
      <c r="N4" t="inlineStr">
        <is>
          <t>Шишка. Пино Нуар — Усадьба Мезыбь — Розовое сухое</t>
        </is>
      </c>
      <c r="O4" t="inlineStr">
        <is>
          <t>Пино Нуар — Галицкий и Галицкий — Красное сухое</t>
        </is>
      </c>
      <c r="P4" t="inlineStr">
        <is>
          <t>Пино Нуар — Bakla Vines — Красное сухое</t>
        </is>
      </c>
      <c r="Q4" t="inlineStr">
        <is>
          <t>Пино Нуар — ВайнКрафт — Красное сухое</t>
        </is>
      </c>
      <c r="R4" t="inlineStr">
        <is>
          <t>Пино Нуар Резерв — Усадьба Перовских — Красное сухое</t>
        </is>
      </c>
      <c r="S4" s="3" t="n">
        <v>0.967592179775238</v>
      </c>
      <c r="T4" s="3" t="n">
        <v>0.0227555874735117</v>
      </c>
      <c r="U4" t="n">
        <v>934.5</v>
      </c>
    </row>
    <row r="5">
      <c r="A5" t="inlineStr">
        <is>
          <t>48.98_02-09-2026_18-34-15.webp</t>
        </is>
      </c>
      <c r="B5" t="inlineStr">
        <is>
          <t>уверенно</t>
        </is>
      </c>
      <c r="C5" t="inlineStr">
        <is>
          <t>denisov_rubin_klaret_krasnaya_strelka</t>
        </is>
      </c>
      <c r="D5" t="inlineStr">
        <is>
          <t>Рубин кларет . Красная стрелка — Denisov Winery — Розовое сухое</t>
        </is>
      </c>
      <c r="F5" t="inlineStr">
        <is>
          <t>denisov_rubin_klaret_krasnaya_strelka</t>
        </is>
      </c>
      <c r="G5" t="inlineStr">
        <is>
          <t>denisov_pino_noir_klaret</t>
        </is>
      </c>
      <c r="H5" t="inlineStr">
        <is>
          <t>gunko-winery-krasnye-gliny-kaberne-fran-krasnoe-suhoe-14</t>
        </is>
      </c>
      <c r="I5" t="inlineStr">
        <is>
          <t>vinodelnya-78-aligote-otbornoe-beloe-suhoe-12</t>
        </is>
      </c>
      <c r="J5" t="inlineStr">
        <is>
          <t>vinodelnya-pokrovskaya-pokrovskoe-sladkoe-krasnoe-kaberne-sovinon-13</t>
        </is>
      </c>
      <c r="K5">
        <f>IF(C5="","",IFERROR(MATCH(C5,F5:J5,0),"нет"))</f>
        <v/>
      </c>
      <c r="L5">
        <f>IF(C5="","",IF(K5=1,1,0))</f>
        <v/>
      </c>
      <c r="M5">
        <f>IF(C5="","",IF(ISNUMBER(K5),1,0))</f>
        <v/>
      </c>
      <c r="N5" t="inlineStr">
        <is>
          <t>Рубин кларет . Красная стрелка — Denisov Winery — Розовое сухое</t>
        </is>
      </c>
      <c r="O5" t="inlineStr">
        <is>
          <t>Пино Нуар кларет. Красная стрелка — Denisov Winery — Розовое сухое</t>
        </is>
      </c>
      <c r="P5" t="inlineStr">
        <is>
          <t>Красные Глины — Gunko Winery — Красное сухое</t>
        </is>
      </c>
      <c r="Q5" t="inlineStr">
        <is>
          <t>Алиготе Отборное — Винодельня 78 — Белое сухое</t>
        </is>
      </c>
      <c r="R5" t="inlineStr">
        <is>
          <t>Покровское сладкое красное — Винодельня Покровская — Красное сладкое</t>
        </is>
      </c>
      <c r="S5" s="3" t="n">
        <v>0.9999979734420776</v>
      </c>
      <c r="T5" s="3" t="n">
        <v>9.422435596206924e-07</v>
      </c>
      <c r="U5" t="n">
        <v>771.9400000000001</v>
      </c>
    </row>
    <row r="6">
      <c r="A6" t="inlineStr">
        <is>
          <t>68.81_05-09-2026_15-46-31.webp</t>
        </is>
      </c>
      <c r="B6" t="inlineStr">
        <is>
          <t>нет в каталоге</t>
        </is>
      </c>
      <c r="F6" t="inlineStr">
        <is>
          <t>fanagoriya-ledyanoe-vino-muskat-muskat-ottonel-beloe-sladkoe-11</t>
        </is>
      </c>
      <c r="G6" t="inlineStr">
        <is>
          <t>soyuz-vino-soyuz-vino-muskat-beloe-polusladkoe-11</t>
        </is>
      </c>
      <c r="H6" t="inlineStr">
        <is>
          <t>usadba-markoth-kaberne-sovinon-rezerv-krasnoe-suhoe-13</t>
        </is>
      </c>
      <c r="I6" t="inlineStr">
        <is>
          <t>valeriy-zaharin-muskat-valeriy-zaharin-muskat-ottonel-beloe-polusladkoe-12</t>
        </is>
      </c>
      <c r="J6" t="inlineStr">
        <is>
          <t>vinodelnya-myshako-muskat-avtorskaya-tehnologiya-mono-beloe-suhoe-128</t>
        </is>
      </c>
      <c r="K6">
        <f>IF(C6="","",IFERROR(MATCH(C6,F6:J6,0),"нет"))</f>
        <v/>
      </c>
      <c r="L6">
        <f>IF(C6="","",IF(K6=1,1,0))</f>
        <v/>
      </c>
      <c r="M6">
        <f>IF(C6="","",IF(ISNUMBER(K6),1,0))</f>
        <v/>
      </c>
      <c r="N6" t="inlineStr">
        <is>
          <t>Ледяное вино. Мускат — Фанагория — Белое сладкое</t>
        </is>
      </c>
      <c r="O6" t="inlineStr">
        <is>
          <t>Союз-Вино Мускат — Союз-Вино — Белое полусладкое</t>
        </is>
      </c>
      <c r="P6" t="inlineStr">
        <is>
          <t>Каберне Совиньон Резерв — Усадьба Маркотх — Красное сухое</t>
        </is>
      </c>
      <c r="Q6" t="inlineStr">
        <is>
          <t>Мускат. Валерий Захарьин — Валерий Захарьин — Белое полусладкое</t>
        </is>
      </c>
      <c r="R6" t="inlineStr">
        <is>
          <t>Мускат. Авторская технология. Моно — Мысхако — Белое сухое</t>
        </is>
      </c>
      <c r="S6" s="3" t="n">
        <v>0.9832557439804077</v>
      </c>
      <c r="T6" s="3" t="n">
        <v>0.01589284837245941</v>
      </c>
      <c r="U6" t="n">
        <v>946.09</v>
      </c>
    </row>
    <row r="7">
      <c r="A7" t="inlineStr">
        <is>
          <t>70.45_04-09-2026_13-35-37.webp</t>
        </is>
      </c>
      <c r="B7" t="inlineStr">
        <is>
          <t>не уверен</t>
        </is>
      </c>
      <c r="C7" t="inlineStr">
        <is>
          <t>fanagoriya-formula-q-kaberne-sovinon-krasnoe-suhoe-135</t>
        </is>
      </c>
      <c r="D7" t="inlineStr">
        <is>
          <t>Формула Q — Фанагория — Красное сухое</t>
        </is>
      </c>
      <c r="E7" t="inlineStr">
        <is>
          <t>на фото слишком яркая этикетка, в каталоге более темная</t>
        </is>
      </c>
      <c r="F7" t="inlineStr">
        <is>
          <t>fanagoriya-formula-q-kaberne-sovinon-krasnoe-suhoe-135</t>
        </is>
      </c>
      <c r="G7" t="inlineStr">
        <is>
          <t>fanagoriya-formula-q-saperavi-krasnoe-suhoe-135</t>
        </is>
      </c>
      <c r="H7" t="inlineStr">
        <is>
          <t>fanagoriya-q-blanc-sovinon-blan-beloe-suhoe-14</t>
        </is>
      </c>
      <c r="I7" t="inlineStr">
        <is>
          <t>fanagoriya-q-bordeaux-blend-kaberne-sovinon-krasnoe-suhoe-135</t>
        </is>
      </c>
      <c r="J7" t="inlineStr">
        <is>
          <t>fanagoriya-beloe-polusladkoe</t>
        </is>
      </c>
      <c r="K7">
        <f>IF(C7="","",IFERROR(MATCH(C7,F7:J7,0),"нет"))</f>
        <v/>
      </c>
      <c r="L7">
        <f>IF(C7="","",IF(K7=1,1,0))</f>
        <v/>
      </c>
      <c r="M7">
        <f>IF(C7="","",IF(ISNUMBER(K7),1,0))</f>
        <v/>
      </c>
      <c r="N7" t="inlineStr">
        <is>
          <t>Формула Q — Фанагория — Красное сухое</t>
        </is>
      </c>
      <c r="O7" t="inlineStr">
        <is>
          <t>Formula Q — Фанагория — Красное сухое</t>
        </is>
      </c>
      <c r="P7" t="inlineStr">
        <is>
          <t>Q Blanc — Фанагория — Белое сухое</t>
        </is>
      </c>
      <c r="Q7" t="inlineStr">
        <is>
          <t>Q Bordeaux Blend — Фанагория — Красное сухое</t>
        </is>
      </c>
      <c r="R7" t="inlineStr">
        <is>
          <t>Фанагория белое полусладкое — Фанагория — Белое полусладкое</t>
        </is>
      </c>
      <c r="S7" s="3" t="n">
        <v>0.9399082660675049</v>
      </c>
      <c r="T7" s="3" t="n">
        <v>1.654564016462245e-06</v>
      </c>
      <c r="U7" t="n">
        <v>1010.49</v>
      </c>
    </row>
    <row r="8">
      <c r="A8" t="inlineStr">
        <is>
          <t>72.97_09-09-2026_19-38-57.webp</t>
        </is>
      </c>
      <c r="B8" t="inlineStr">
        <is>
          <t>нет в каталоге</t>
        </is>
      </c>
      <c r="F8" t="inlineStr">
        <is>
          <t>shato-pino-sovinon-blan-semilon-beloe-suhoe-115</t>
        </is>
      </c>
      <c r="G8" t="inlineStr">
        <is>
          <t>shato-pino-grand-reserve-chardonnay-shardone-beloe-suhoe-125</t>
        </is>
      </c>
      <c r="H8" t="inlineStr">
        <is>
          <t>shato-pino-gravitatsiya-kaberne-sovinon-merlo-krasnoe-suhoe-135</t>
        </is>
      </c>
      <c r="I8" t="inlineStr">
        <is>
          <t>shato-pino-blan-de-blan-shardone-beloe-ekstra-bryut-12</t>
        </is>
      </c>
      <c r="J8" t="inlineStr">
        <is>
          <t>shato-pino-marselan-merlo-krasnoe-suhoe-13</t>
        </is>
      </c>
      <c r="K8">
        <f>IF(C8="","",IFERROR(MATCH(C8,F8:J8,0),"нет"))</f>
        <v/>
      </c>
      <c r="L8">
        <f>IF(C8="","",IF(K8=1,1,0))</f>
        <v/>
      </c>
      <c r="M8">
        <f>IF(C8="","",IF(ISNUMBER(K8),1,0))</f>
        <v/>
      </c>
      <c r="N8" t="inlineStr">
        <is>
          <t>Совиньон Блан - Семильон — Шато Пино — Белое сухое</t>
        </is>
      </c>
      <c r="O8" t="inlineStr">
        <is>
          <t>Grand Reserve Chardonnay — Шато Пино — Белое сухое</t>
        </is>
      </c>
      <c r="P8" t="inlineStr">
        <is>
          <t>Гравитация. Каберне Совиньон - Мерло — Шато Пино — Красное сухое</t>
        </is>
      </c>
      <c r="Q8" t="inlineStr">
        <is>
          <t>Блан Де Блан — Шато Пино — Белое экстра брют</t>
        </is>
      </c>
      <c r="R8" t="inlineStr">
        <is>
          <t>Марселан - Мерло — Шато Пино — Красное сухое</t>
        </is>
      </c>
      <c r="S8" s="3" t="n">
        <v>0.999779999256134</v>
      </c>
      <c r="T8" s="3" t="n">
        <v>0.0001233826478710398</v>
      </c>
      <c r="U8" t="n">
        <v>597.1900000000001</v>
      </c>
    </row>
    <row r="9">
      <c r="A9" t="inlineStr">
        <is>
          <t>82.33_27-08-2026_10-03-52.webp</t>
        </is>
      </c>
      <c r="B9" t="inlineStr">
        <is>
          <t>уверенно</t>
        </is>
      </c>
      <c r="C9" t="inlineStr">
        <is>
          <t>skalistyj-bereg-shepot-czvetov</t>
        </is>
      </c>
      <c r="D9" t="inlineStr">
        <is>
          <t>Скалистый берег Шепот цветов — Скалистый берег — Белое сухое</t>
        </is>
      </c>
      <c r="F9" t="inlineStr">
        <is>
          <t>skalistyj-bereg-shepot-czvetov</t>
        </is>
      </c>
      <c r="G9" t="inlineStr">
        <is>
          <t>skalistyy-bereg-melodiya-leta-krasnostop-zolotovskiy-rozovoe-suhoe-126</t>
        </is>
      </c>
      <c r="H9" t="inlineStr">
        <is>
          <t>skalistyy-bereg-dyhanie-voln-shardone-beloe-suhoe-121</t>
        </is>
      </c>
      <c r="I9" t="inlineStr">
        <is>
          <t>vysokij-bereg-czvajgelt</t>
        </is>
      </c>
      <c r="J9" t="inlineStr">
        <is>
          <t>belbek-rkatsiteli-beloe-suhoe-13</t>
        </is>
      </c>
      <c r="K9">
        <f>IF(C9="","",IFERROR(MATCH(C9,F9:J9,0),"нет"))</f>
        <v/>
      </c>
      <c r="L9">
        <f>IF(C9="","",IF(K9=1,1,0))</f>
        <v/>
      </c>
      <c r="M9">
        <f>IF(C9="","",IF(ISNUMBER(K9),1,0))</f>
        <v/>
      </c>
      <c r="N9" t="inlineStr">
        <is>
          <t>Скалистый берег Шепот цветов — Скалистый берег — Белое сухое</t>
        </is>
      </c>
      <c r="O9" t="inlineStr">
        <is>
          <t>Мелодия лета — Скалистый берег — Розовое сухое</t>
        </is>
      </c>
      <c r="P9" t="inlineStr">
        <is>
          <t>Дыхание волн — Скалистый берег — Белое сухое</t>
        </is>
      </c>
      <c r="Q9" t="inlineStr">
        <is>
          <t>Высокий Берег Цвайгельт — Кубань-Вино — Розовое сухое</t>
        </is>
      </c>
      <c r="R9" t="inlineStr">
        <is>
          <t>Ркацители — Бельбек — Белое сухое</t>
        </is>
      </c>
      <c r="S9" s="3" t="n">
        <v>0.9999998807907104</v>
      </c>
      <c r="T9" s="3" t="n">
        <v>1.125351616337866e-07</v>
      </c>
      <c r="U9" t="n">
        <v>834.51</v>
      </c>
    </row>
    <row r="10">
      <c r="A10" t="inlineStr">
        <is>
          <t>84.73_07-09-2026_11-07-51.webp</t>
        </is>
      </c>
      <c r="B10" t="inlineStr">
        <is>
          <t>уверенно</t>
        </is>
      </c>
      <c r="C10" t="inlineStr">
        <is>
          <t>zhemchuzhnaya-9-aligote-czitron</t>
        </is>
      </c>
      <c r="D10" t="inlineStr">
        <is>
          <t>Жемчужная 9 Алиготе, Цитрон — АРАТТИ — Белое сухое</t>
        </is>
      </c>
      <c r="F10" t="inlineStr">
        <is>
          <t>zhemchuzhnaya-9-aligote-czitron</t>
        </is>
      </c>
      <c r="G10" t="inlineStr">
        <is>
          <t>zhemchuzhnaya-9-czitron-shardone</t>
        </is>
      </c>
      <c r="H10" t="inlineStr">
        <is>
          <t>zhemchuzhnaya-9-sovinon-blan-aligote</t>
        </is>
      </c>
      <c r="I10" t="inlineStr">
        <is>
          <t>zhemchuzhnaya-9-czitron-shardone-1</t>
        </is>
      </c>
      <c r="J10" t="inlineStr">
        <is>
          <t>czitronnyj-magaracha-sovinon-blan</t>
        </is>
      </c>
      <c r="K10">
        <f>IF(C10="","",IFERROR(MATCH(C10,F10:J10,0),"нет"))</f>
        <v/>
      </c>
      <c r="L10">
        <f>IF(C10="","",IF(K10=1,1,0))</f>
        <v/>
      </c>
      <c r="M10">
        <f>IF(C10="","",IF(ISNUMBER(K10),1,0))</f>
        <v/>
      </c>
      <c r="N10" t="inlineStr">
        <is>
          <t>Жемчужная 9 Алиготе, Цитрон — АРАТТИ — Белое сухое</t>
        </is>
      </c>
      <c r="O10" t="inlineStr">
        <is>
          <t>Жемчужная 9 Цитрон, Шардоне — АРАТТИ — Белое сухое</t>
        </is>
      </c>
      <c r="P10" t="inlineStr">
        <is>
          <t>Жемчужная 9 Совиньон блан, Алиготе — АРАТТИ — Белое сухое</t>
        </is>
      </c>
      <c r="Q10" t="inlineStr">
        <is>
          <t>Жемчужная 9 Цитрон, Шардоне — АРАТТИ — Белое полусладкое</t>
        </is>
      </c>
      <c r="R10" t="inlineStr">
        <is>
          <t>Жемчужная 9 Цитрон, Совиньон блан — АРАТТИ — Белое полусухое</t>
        </is>
      </c>
      <c r="S10" s="3" t="n">
        <v>0.9999995231628418</v>
      </c>
      <c r="T10" s="3" t="n">
        <v>2.382368506914645e-07</v>
      </c>
      <c r="U10" t="n">
        <v>626.25</v>
      </c>
    </row>
    <row r="11">
      <c r="A11" t="inlineStr">
        <is>
          <t>87.09_22-08-2026_20-57-16.webp</t>
        </is>
      </c>
      <c r="B11" t="inlineStr">
        <is>
          <t>уверенно</t>
        </is>
      </c>
      <c r="C11" t="inlineStr">
        <is>
          <t>pobeda</t>
        </is>
      </c>
      <c r="D11" t="inlineStr">
        <is>
          <t>Победа — Табия — Красное сухое</t>
        </is>
      </c>
      <c r="F11" t="inlineStr">
        <is>
          <t>pobeda</t>
        </is>
      </c>
      <c r="G11" t="inlineStr">
        <is>
          <t>vinodelnya-begildeeva-kaberne-sovinon-krasnoe-suhoe-14</t>
        </is>
      </c>
      <c r="H11" t="inlineStr">
        <is>
          <t>kaberne-sovinon-2</t>
        </is>
      </c>
      <c r="I11" t="inlineStr">
        <is>
          <t>rubin-golodrigi</t>
        </is>
      </c>
      <c r="J11" t="inlineStr">
        <is>
          <t>chateau-de-talu-kaberne-sovinon-rezerv-krasnoe-suhoe-14</t>
        </is>
      </c>
      <c r="K11">
        <f>IF(C11="","",IFERROR(MATCH(C11,F11:J11,0),"нет"))</f>
        <v/>
      </c>
      <c r="L11">
        <f>IF(C11="","",IF(K11=1,1,0))</f>
        <v/>
      </c>
      <c r="M11">
        <f>IF(C11="","",IF(ISNUMBER(K11),1,0))</f>
        <v/>
      </c>
      <c r="N11" t="inlineStr">
        <is>
          <t>Победа — Табия — Красное сухое</t>
        </is>
      </c>
      <c r="O11" t="inlineStr">
        <is>
          <t>Каберне Совиньон — Винодельня Бегильдеева — Красное сухое</t>
        </is>
      </c>
      <c r="P11" t="inlineStr">
        <is>
          <t>Каберне Совиньон — Табия — Красное сухое</t>
        </is>
      </c>
      <c r="Q11" t="inlineStr">
        <is>
          <t>Рубин Голодриги  — Табия — Красное сухое</t>
        </is>
      </c>
      <c r="R11" t="inlineStr">
        <is>
          <t>Каберне Совиньон Резерв — Chateau de Talu — Красное сухое</t>
        </is>
      </c>
      <c r="S11" s="3" t="n">
        <v>0.9999990463256836</v>
      </c>
      <c r="T11" s="3" t="n">
        <v>6.475946179307357e-07</v>
      </c>
      <c r="U11" t="n">
        <v>583.9299999999999</v>
      </c>
    </row>
    <row r="12">
      <c r="A12" t="inlineStr">
        <is>
          <t>87.54_03-09-2026_13-27-53.webp</t>
        </is>
      </c>
      <c r="B12" t="inlineStr">
        <is>
          <t>уверенно</t>
        </is>
      </c>
      <c r="C12" t="inlineStr">
        <is>
          <t>relikta-relikta-sira-kaberne-fran-krasnoe-suhoe-13</t>
        </is>
      </c>
      <c r="D12" t="inlineStr">
        <is>
          <t>Реликта Сира, Каберне Фран — Реликта — Красное сухое</t>
        </is>
      </c>
      <c r="F12" t="inlineStr">
        <is>
          <t>relikta-relikta-sira-kaberne-fran-krasnoe-suhoe-13</t>
        </is>
      </c>
      <c r="G12" t="inlineStr">
        <is>
          <t>relikta-relikta-kaberne-sovinon-krasnoe-suhoe-135</t>
        </is>
      </c>
      <c r="H12" t="inlineStr">
        <is>
          <t>relikta-relikta-sira-krasnoe-suhoe-13</t>
        </is>
      </c>
      <c r="I12" t="inlineStr">
        <is>
          <t>relikta-relikta-merlo-kaberne-sovinon-krasnoe-suhoe-135</t>
        </is>
      </c>
      <c r="J12" t="inlineStr">
        <is>
          <t>relikta-relikta-merlo-krasnoe-suhoe-135</t>
        </is>
      </c>
      <c r="K12">
        <f>IF(C12="","",IFERROR(MATCH(C12,F12:J12,0),"нет"))</f>
        <v/>
      </c>
      <c r="L12">
        <f>IF(C12="","",IF(K12=1,1,0))</f>
        <v/>
      </c>
      <c r="M12">
        <f>IF(C12="","",IF(ISNUMBER(K12),1,0))</f>
        <v/>
      </c>
      <c r="N12" t="inlineStr">
        <is>
          <t>Реликта Сира, Каберне Фран — Реликта — Красное сухое</t>
        </is>
      </c>
      <c r="O12" t="inlineStr">
        <is>
          <t>Реликта Каберне Совиньон — Реликта — Красное сухое</t>
        </is>
      </c>
      <c r="P12" t="inlineStr">
        <is>
          <t>Реликта Сира — Реликта — Красное сухое</t>
        </is>
      </c>
      <c r="Q12" t="inlineStr">
        <is>
          <t>Реликта Мерло, Каберне Совиньон — Реликта — Красное сухое</t>
        </is>
      </c>
      <c r="R12" t="inlineStr">
        <is>
          <t>Реликта Мерло — Реликта — Красное сухое</t>
        </is>
      </c>
      <c r="S12" s="3" t="n">
        <v>0.9999998807907104</v>
      </c>
      <c r="T12" s="3" t="n">
        <v>4.139937459513021e-08</v>
      </c>
      <c r="U12" t="n">
        <v>1199.09</v>
      </c>
    </row>
    <row r="13">
      <c r="A13" t="inlineStr">
        <is>
          <t>87.6_20-08-2026_19-56-56.webp</t>
        </is>
      </c>
      <c r="B13" t="inlineStr">
        <is>
          <t>не уверен</t>
        </is>
      </c>
      <c r="C13" t="inlineStr">
        <is>
          <t>leto-shardone-2023-suhoe-beloe</t>
        </is>
      </c>
      <c r="D13" t="inlineStr">
        <is>
          <t>LETO Шардоне 2023 сухое белое — LETO — Белое сухое</t>
        </is>
      </c>
      <c r="E13" t="inlineStr">
        <is>
          <t>есть такое, но на фото черная этикетка вместо белой</t>
        </is>
      </c>
      <c r="F13" t="inlineStr">
        <is>
          <t>vinodelnya-uzunov-shardone-rezerv-beloe-suhoe-135</t>
        </is>
      </c>
      <c r="G13" t="inlineStr">
        <is>
          <t>vinodelnya-konstantina-dzitoeva-kd-shardone-beloe-suhoe-128</t>
        </is>
      </c>
      <c r="H13" t="inlineStr">
        <is>
          <t>vinodelnya-uzunov-rash-rezerv-risling-reynskiy-beloe-suhoe-127</t>
        </is>
      </c>
      <c r="I13" t="inlineStr">
        <is>
          <t>vinodelnya-uzunov-nrav-rezerv-krasnostop-zolotovskiy-krasnoe-suhoe-139</t>
        </is>
      </c>
      <c r="J13" t="inlineStr">
        <is>
          <t>vinodelnya-vedernikov-tsimlyanskiy-chernyy-rezerv-krasnoe-suhoe-145</t>
        </is>
      </c>
      <c r="K13">
        <f>IF(C13="","",IFERROR(MATCH(C13,F13:J13,0),"нет"))</f>
        <v/>
      </c>
      <c r="L13">
        <f>IF(C13="","",IF(K13=1,1,0))</f>
        <v/>
      </c>
      <c r="M13">
        <f>IF(C13="","",IF(ISNUMBER(K13),1,0))</f>
        <v/>
      </c>
      <c r="N13" t="inlineStr">
        <is>
          <t>Шардоне Резерв — Винодельня Узунов — Белое сухое</t>
        </is>
      </c>
      <c r="O13" t="inlineStr">
        <is>
          <t>KD Шардоне — Винодельня Константина Дзитоева — Белое сухое</t>
        </is>
      </c>
      <c r="P13" t="inlineStr">
        <is>
          <t>РАШ Резерв — Винодельня Узунов — Белое сухое</t>
        </is>
      </c>
      <c r="Q13" t="inlineStr">
        <is>
          <t>Нрав Резерв — Винодельня Узунов — Красное сухое</t>
        </is>
      </c>
      <c r="R13" t="inlineStr">
        <is>
          <t>Цимлянский Черный Резерв — Ведерниковъ — Красное сухое</t>
        </is>
      </c>
      <c r="S13" s="3" t="n">
        <v>0.9997797608375549</v>
      </c>
      <c r="T13" s="3" t="n">
        <v>3.534971256158315e-05</v>
      </c>
      <c r="U13" t="n">
        <v>945.22</v>
      </c>
    </row>
    <row r="14">
      <c r="A14" t="inlineStr">
        <is>
          <t>87.81_09-09-2026_17-16-36.webp</t>
        </is>
      </c>
      <c r="B14" t="inlineStr">
        <is>
          <t>не уверен</t>
        </is>
      </c>
      <c r="C14" t="inlineStr">
        <is>
          <t>aya-organic-wine-vineyards-purity-in-chenin-blanc-shenen-blan-beloe-suhoe-11</t>
        </is>
      </c>
      <c r="D14" t="inlineStr">
        <is>
          <t>Purity in Chenin Blanc — AYA Organic Wine &amp; Vineyards — Белое сухое</t>
        </is>
      </c>
      <c r="E14" t="inlineStr">
        <is>
          <t>есть похожее, но в названии вместо in balance написано in-chenin-blanc</t>
        </is>
      </c>
      <c r="F14" t="inlineStr">
        <is>
          <t>aya-organic-wine-vineyards-purity-in-chenin-blanc-shenen-blan-beloe-suhoe-11</t>
        </is>
      </c>
      <c r="G14" t="inlineStr">
        <is>
          <t>aya-organic-wine-vineyards-purity-in-syrah-sira-rozovoe-suhoe-132</t>
        </is>
      </c>
      <c r="H14" t="inlineStr">
        <is>
          <t>aya-organic-wine-vineyards-purity-in-syrah-sira-krasnoe-suhoe-146</t>
        </is>
      </c>
      <c r="I14" t="inlineStr">
        <is>
          <t>aya-organic-wine-vineyards-purity-in-merlot-merlo-rozovoe-suhoe-134</t>
        </is>
      </c>
      <c r="J14" t="inlineStr">
        <is>
          <t>aya-organic-wine-vineyards-purity-in-trinity-pino-nuar-rozovoe-suhoe-13</t>
        </is>
      </c>
      <c r="K14">
        <f>IF(C14="","",IFERROR(MATCH(C14,F14:J14,0),"нет"))</f>
        <v/>
      </c>
      <c r="L14">
        <f>IF(C14="","",IF(K14=1,1,0))</f>
        <v/>
      </c>
      <c r="M14">
        <f>IF(C14="","",IF(ISNUMBER(K14),1,0))</f>
        <v/>
      </c>
      <c r="N14" t="inlineStr">
        <is>
          <t>Purity in Chenin Blanc — AYA Organic Wine &amp; Vineyards — Белое сухое</t>
        </is>
      </c>
      <c r="O14" t="inlineStr">
        <is>
          <t>Purity in Syrah — AYA Organic Wine &amp; Vineyards — Розовое сухое</t>
        </is>
      </c>
      <c r="P14" t="inlineStr">
        <is>
          <t>Purity in Syrah — AYA Organic Wine &amp; Vineyards — Красное сухое</t>
        </is>
      </c>
      <c r="Q14" t="inlineStr">
        <is>
          <t>Purity in Merlot — AYA Organic Wine &amp; Vineyards — Розовое сухое</t>
        </is>
      </c>
      <c r="R14" t="inlineStr">
        <is>
          <t>Purity in Trinity — AYA Organic Wine &amp; Vineyards — Розовое сухое</t>
        </is>
      </c>
      <c r="S14" s="3" t="n">
        <v>0.9524672627449036</v>
      </c>
      <c r="T14" s="3" t="n">
        <v>0.04742055386304855</v>
      </c>
      <c r="U14" t="n">
        <v>642.22</v>
      </c>
    </row>
    <row r="15">
      <c r="A15" t="inlineStr">
        <is>
          <t>87.88_28-08-2026_16-56-20.webp</t>
        </is>
      </c>
      <c r="B15" t="inlineStr">
        <is>
          <t>не уверен</t>
        </is>
      </c>
      <c r="C15" t="inlineStr">
        <is>
          <t>massandra-muskatel-belyy-belye-sorta-vinograda-beloe-sladkoe-16</t>
        </is>
      </c>
      <c r="D15" t="inlineStr">
        <is>
          <t>Мускатель белый — Массандра — Белое сладкое</t>
        </is>
      </c>
      <c r="E15" t="inlineStr">
        <is>
          <t>есть такое, но год урожая отличается</t>
        </is>
      </c>
      <c r="F15" t="inlineStr">
        <is>
          <t>massandra-muskatel-belyy-belye-sorta-vinograda-beloe-sladkoe-16</t>
        </is>
      </c>
      <c r="G15" t="inlineStr">
        <is>
          <t>massandra-muskatel-rozovyy-belye-sorta-vinograda-rozovoe-sladkoe-16</t>
        </is>
      </c>
      <c r="H15" t="inlineStr">
        <is>
          <t>massandra-muskat-belyy-yuzhnoberezhnyy-beloe-sladkoe-16</t>
        </is>
      </c>
      <c r="I15" t="inlineStr">
        <is>
          <t>massandra-muskatel-chernyy-krasnye-sorta-vinograda-krasnoe-sladkoe-16</t>
        </is>
      </c>
      <c r="J15" t="inlineStr">
        <is>
          <t>massandra-muskat</t>
        </is>
      </c>
      <c r="K15">
        <f>IF(C15="","",IFERROR(MATCH(C15,F15:J15,0),"нет"))</f>
        <v/>
      </c>
      <c r="L15">
        <f>IF(C15="","",IF(K15=1,1,0))</f>
        <v/>
      </c>
      <c r="M15">
        <f>IF(C15="","",IF(ISNUMBER(K15),1,0))</f>
        <v/>
      </c>
      <c r="N15" t="inlineStr">
        <is>
          <t>Мускатель белый — Массандра — Белое сладкое</t>
        </is>
      </c>
      <c r="O15" t="inlineStr">
        <is>
          <t>Мускатель розовый — Массандра — Розовое сладкое</t>
        </is>
      </c>
      <c r="P15" t="inlineStr">
        <is>
          <t>Мускат Белый Южнобережный — Массандра — Белое сладкое</t>
        </is>
      </c>
      <c r="Q15" t="inlineStr">
        <is>
          <t>Мускатель черный — Массандра — Красное сладкое</t>
        </is>
      </c>
      <c r="R15" t="inlineStr">
        <is>
          <t>Массандра Мускат — Массандра — Белое сухое</t>
        </is>
      </c>
      <c r="S15" s="3" t="n">
        <v>0.9999985694885254</v>
      </c>
      <c r="T15" s="3" t="n">
        <v>5.043469286647451e-07</v>
      </c>
      <c r="U15" t="n">
        <v>763.48</v>
      </c>
    </row>
    <row r="16">
      <c r="A16" t="inlineStr">
        <is>
          <t>88.2_05-09-2026_16-29-06.webp</t>
        </is>
      </c>
      <c r="B16" t="inlineStr">
        <is>
          <t>нет в каталоге</t>
        </is>
      </c>
      <c r="F16" t="inlineStr">
        <is>
          <t>kuban-vino-kaberne-de-tamane-kaberne-sovinon-krasnoe-suhoe-125</t>
        </is>
      </c>
      <c r="G16" t="inlineStr">
        <is>
          <t>inkerman-shato-blan</t>
        </is>
      </c>
      <c r="H16" t="inlineStr">
        <is>
          <t>inkerman-shato-ruzh</t>
        </is>
      </c>
      <c r="I16" t="inlineStr">
        <is>
          <t>vinodelnya-begildeeva-kaberne-sovinon-krasnoe-suhoe-14</t>
        </is>
      </c>
      <c r="J16" t="inlineStr">
        <is>
          <t>inkermanskiy-zmv-winemakers-selection-saperavi-krasnoe-polusladkoe-12</t>
        </is>
      </c>
      <c r="K16">
        <f>IF(C16="","",IFERROR(MATCH(C16,F16:J16,0),"нет"))</f>
        <v/>
      </c>
      <c r="L16">
        <f>IF(C16="","",IF(K16=1,1,0))</f>
        <v/>
      </c>
      <c r="M16">
        <f>IF(C16="","",IF(ISNUMBER(K16),1,0))</f>
        <v/>
      </c>
      <c r="N16" t="inlineStr">
        <is>
          <t>Каберне де Тамань — Кубань-Вино — Красное сухое</t>
        </is>
      </c>
      <c r="O16" t="inlineStr">
        <is>
          <t>Инкерман Шато Блан — Инкерманский ЗМВ — Белое полусухое</t>
        </is>
      </c>
      <c r="P16" t="inlineStr">
        <is>
          <t>Inkerman Шато Руж — Инкерманский ЗМВ — Красное полусухое</t>
        </is>
      </c>
      <c r="Q16" t="inlineStr">
        <is>
          <t>Каберне Совиньон — Винодельня Бегильдеева — Красное сухое</t>
        </is>
      </c>
      <c r="R16" t="inlineStr">
        <is>
          <t>Winemaker's Selection Саперави — Инкерманский ЗМВ — Красное полусладкое</t>
        </is>
      </c>
      <c r="S16" s="3" t="n">
        <v>0.9999821186065674</v>
      </c>
      <c r="T16" s="3" t="n">
        <v>3.288701009296346e-06</v>
      </c>
      <c r="U16" t="n">
        <v>767.72</v>
      </c>
    </row>
    <row r="17">
      <c r="A17" t="inlineStr">
        <is>
          <t>88.38_20-08-2026_18-32-58.webp</t>
        </is>
      </c>
      <c r="B17" t="inlineStr">
        <is>
          <t>уверенно</t>
        </is>
      </c>
      <c r="C17" t="inlineStr">
        <is>
          <t>czitronnyj-magaracha-sovinon-blan</t>
        </is>
      </c>
      <c r="D17" t="inlineStr">
        <is>
          <t>Жемчужная 9 Цитрон, Совиньон блан — АРАТТИ — Белое полусухое</t>
        </is>
      </c>
      <c r="F17" t="inlineStr">
        <is>
          <t>czitronnyj-magaracha-sovinon-blan</t>
        </is>
      </c>
      <c r="G17" t="inlineStr">
        <is>
          <t>zhemchuzhnaya-9-czitron-shardone-1</t>
        </is>
      </c>
      <c r="H17" t="inlineStr">
        <is>
          <t>zhemchuzhnaya-9-aligote-czitron</t>
        </is>
      </c>
      <c r="I17" t="inlineStr">
        <is>
          <t>zhemchuzhnaya-9-czitron-shardone</t>
        </is>
      </c>
      <c r="J17" t="inlineStr">
        <is>
          <t>zhemchuzhnaya-9-sovinon-blan-aligote</t>
        </is>
      </c>
      <c r="K17">
        <f>IF(C17="","",IFERROR(MATCH(C17,F17:J17,0),"нет"))</f>
        <v/>
      </c>
      <c r="L17">
        <f>IF(C17="","",IF(K17=1,1,0))</f>
        <v/>
      </c>
      <c r="M17">
        <f>IF(C17="","",IF(ISNUMBER(K17),1,0))</f>
        <v/>
      </c>
      <c r="N17" t="inlineStr">
        <is>
          <t>Жемчужная 9 Цитрон, Совиньон блан — АРАТТИ — Белое полусухое</t>
        </is>
      </c>
      <c r="O17" t="inlineStr">
        <is>
          <t>Жемчужная 9 Цитрон, Шардоне — АРАТТИ — Белое полусладкое</t>
        </is>
      </c>
      <c r="P17" t="inlineStr">
        <is>
          <t>Жемчужная 9 Алиготе, Цитрон — АРАТТИ — Белое сухое</t>
        </is>
      </c>
      <c r="Q17" t="inlineStr">
        <is>
          <t>Жемчужная 9 Цитрон, Шардоне — АРАТТИ — Белое сухое</t>
        </is>
      </c>
      <c r="R17" t="inlineStr">
        <is>
          <t>Жемчужная 9 Совиньон блан, Алиготе — АРАТТИ — Белое сухое</t>
        </is>
      </c>
      <c r="S17" s="3" t="n">
        <v>0.9999717473983765</v>
      </c>
      <c r="T17" s="3" t="n">
        <v>2.699502203995507e-07</v>
      </c>
      <c r="U17" t="n">
        <v>627.63</v>
      </c>
    </row>
    <row r="18">
      <c r="A18" t="inlineStr">
        <is>
          <t>89.65_19-08-2026_19-48-39.webp</t>
        </is>
      </c>
      <c r="B18" t="inlineStr">
        <is>
          <t>уверенно</t>
        </is>
      </c>
      <c r="C18" t="inlineStr">
        <is>
          <t>rozovoe-zoloto</t>
        </is>
      </c>
      <c r="D18" t="inlineStr">
        <is>
          <t>Розовое золото — Табия — Розовое полусухое</t>
        </is>
      </c>
      <c r="F18" t="inlineStr">
        <is>
          <t>rozovoe-zoloto</t>
        </is>
      </c>
      <c r="G18" t="inlineStr">
        <is>
          <t>bukovinka</t>
        </is>
      </c>
      <c r="H18" t="inlineStr">
        <is>
          <t>roze-2</t>
        </is>
      </c>
      <c r="I18" t="inlineStr">
        <is>
          <t>rubin-golodrigi</t>
        </is>
      </c>
      <c r="J18" t="inlineStr">
        <is>
          <t>oleg</t>
        </is>
      </c>
      <c r="K18">
        <f>IF(C18="","",IFERROR(MATCH(C18,F18:J18,0),"нет"))</f>
        <v/>
      </c>
      <c r="L18">
        <f>IF(C18="","",IF(K18=1,1,0))</f>
        <v/>
      </c>
      <c r="M18">
        <f>IF(C18="","",IF(ISNUMBER(K18),1,0))</f>
        <v/>
      </c>
      <c r="N18" t="inlineStr">
        <is>
          <t>Розовое золото — Табия — Розовое полусухое</t>
        </is>
      </c>
      <c r="O18" t="inlineStr">
        <is>
          <t>Буковинка — Табия — Белое полусухое</t>
        </is>
      </c>
      <c r="P18" t="inlineStr">
        <is>
          <t>Розе — Табия — Розовое сухое</t>
        </is>
      </c>
      <c r="Q18" t="inlineStr">
        <is>
          <t>Рубин Голодриги  — Табия — Красное сухое</t>
        </is>
      </c>
      <c r="R18" t="inlineStr">
        <is>
          <t>Олег — Табия — Белое сухое</t>
        </is>
      </c>
      <c r="S18" s="3" t="n">
        <v>0.9999997615814209</v>
      </c>
      <c r="T18" s="3" t="n">
        <v>1.444980028963982e-07</v>
      </c>
      <c r="U18" t="n">
        <v>505.5</v>
      </c>
    </row>
    <row r="19">
      <c r="A19" t="inlineStr">
        <is>
          <t>90.5_02-09-2026_10-32-11.webp</t>
        </is>
      </c>
      <c r="B19" t="inlineStr">
        <is>
          <t>нет в каталоге</t>
        </is>
      </c>
      <c r="F19" t="inlineStr">
        <is>
          <t>inkerman-shato-ruzh</t>
        </is>
      </c>
      <c r="G19" t="inlineStr">
        <is>
          <t>inkerman-muskatnoe-beloe</t>
        </is>
      </c>
      <c r="H19" t="inlineStr">
        <is>
          <t>inkermanskiy-zmv-inkerman-rozovoe-polusladkoe-rkatsiteli-12</t>
        </is>
      </c>
      <c r="I19" t="inlineStr">
        <is>
          <t>inkermanskiy-zmv-inkerman-bryut-shardone-beloe-135</t>
        </is>
      </c>
      <c r="J19" t="inlineStr">
        <is>
          <t>inkerman-shato-blan</t>
        </is>
      </c>
      <c r="K19">
        <f>IF(C19="","",IFERROR(MATCH(C19,F19:J19,0),"нет"))</f>
        <v/>
      </c>
      <c r="L19">
        <f>IF(C19="","",IF(K19=1,1,0))</f>
        <v/>
      </c>
      <c r="M19">
        <f>IF(C19="","",IF(ISNUMBER(K19),1,0))</f>
        <v/>
      </c>
      <c r="N19" t="inlineStr">
        <is>
          <t>Inkerman Шато Руж — Инкерманский ЗМВ — Красное полусухое</t>
        </is>
      </c>
      <c r="O19" t="inlineStr">
        <is>
          <t>Inkerman Мускатное белое — Инкерманский ЗМВ — Белое полусладкое</t>
        </is>
      </c>
      <c r="P19" t="inlineStr">
        <is>
          <t>Инкерман Розовое полусладкое — Инкерманский ЗМВ — Розовое полусладкое</t>
        </is>
      </c>
      <c r="Q19" t="inlineStr">
        <is>
          <t>Inkerman брют — Инкерманский ЗМВ — Белое брют</t>
        </is>
      </c>
      <c r="R19" t="inlineStr">
        <is>
          <t>Инкерман Шато Блан — Инкерманский ЗМВ — Белое полусухое</t>
        </is>
      </c>
      <c r="S19" s="3" t="n">
        <v>0.7525316476821899</v>
      </c>
      <c r="T19" s="3" t="n">
        <v>1.42420421980205e-05</v>
      </c>
      <c r="U19" t="n">
        <v>779.36</v>
      </c>
    </row>
    <row r="20">
      <c r="A20" t="inlineStr">
        <is>
          <t>91.07_20-08-2026_18-37-46.webp</t>
        </is>
      </c>
      <c r="B20" t="inlineStr">
        <is>
          <t>уверенно</t>
        </is>
      </c>
      <c r="C20" t="inlineStr">
        <is>
          <t>aratti-kaberne-sovinon-2021-krasnoe-suhoe</t>
        </is>
      </c>
      <c r="D20" t="inlineStr">
        <is>
          <t>АРАТТИ Каберне Совиньон 2021 красное сухое — АРАТТИ — Красное сухое</t>
        </is>
      </c>
      <c r="F20" t="inlineStr">
        <is>
          <t>aratti-kaberne-sovinon-2021-krasnoe-suhoe</t>
        </is>
      </c>
      <c r="G20" t="inlineStr">
        <is>
          <t>aratti-kaberne-po-belomu-1</t>
        </is>
      </c>
      <c r="H20" t="inlineStr">
        <is>
          <t>aratti-kaberne-sovinon-2020-krasnoe-suhoe</t>
        </is>
      </c>
      <c r="I20" t="inlineStr">
        <is>
          <t>aratti-kaberne-po-belomu</t>
        </is>
      </c>
      <c r="J20" t="inlineStr">
        <is>
          <t>aratti-sovinon-blan-beloe-polusuhoe</t>
        </is>
      </c>
      <c r="K20">
        <f>IF(C20="","",IFERROR(MATCH(C20,F20:J20,0),"нет"))</f>
        <v/>
      </c>
      <c r="L20">
        <f>IF(C20="","",IF(K20=1,1,0))</f>
        <v/>
      </c>
      <c r="M20">
        <f>IF(C20="","",IF(ISNUMBER(K20),1,0))</f>
        <v/>
      </c>
      <c r="N20" t="inlineStr">
        <is>
          <t>АРАТТИ Каберне Совиньон 2021 красное сухое — АРАТТИ — Красное сухое</t>
        </is>
      </c>
      <c r="O20" t="inlineStr">
        <is>
          <t>АРАТТИ Каберне по-белому — АРАТТИ — Розовое полусухое</t>
        </is>
      </c>
      <c r="P20" t="inlineStr">
        <is>
          <t>АРАТТИ Каберне Совиньон 2020 красное сухое — АРАТТИ — Красное сухое</t>
        </is>
      </c>
      <c r="Q20" t="inlineStr">
        <is>
          <t>АРАТТИ Каберне по-белому — АРАТТИ — Красное сухое</t>
        </is>
      </c>
      <c r="R20" t="inlineStr">
        <is>
          <t>АРАТТИ Совиньон блан белое полусухое — АРАТТИ — Белое полусухое</t>
        </is>
      </c>
      <c r="S20" s="3" t="n">
        <v>0.9999011754989624</v>
      </c>
      <c r="T20" s="3" t="n">
        <v>6.143605332908919e-06</v>
      </c>
      <c r="U20" t="n">
        <v>618.79</v>
      </c>
    </row>
    <row r="21">
      <c r="A21" t="inlineStr">
        <is>
          <t>91.43_02-09-2026_12-08-50.webp</t>
        </is>
      </c>
      <c r="B21" t="inlineStr">
        <is>
          <t>уверенно</t>
        </is>
      </c>
      <c r="C21" t="inlineStr">
        <is>
          <t>merlo-2</t>
        </is>
      </c>
      <c r="D21" t="inlineStr">
        <is>
          <t>Мерло — Литавщук. Litavshchuk vineyards &amp; winery — Красное сухое</t>
        </is>
      </c>
      <c r="F21" t="inlineStr">
        <is>
          <t>merlo-2</t>
        </is>
      </c>
      <c r="G21" t="inlineStr">
        <is>
          <t>vinodelnya-begildeeva-merlo-krasnoe-suhoe-14</t>
        </is>
      </c>
      <c r="H21" t="inlineStr">
        <is>
          <t>vinodelnya-begildeeva-kaberne-sovinon-merlo-krasnoe-suhoe-14</t>
        </is>
      </c>
      <c r="I21" t="inlineStr">
        <is>
          <t>merlo</t>
        </is>
      </c>
      <c r="J21" t="inlineStr">
        <is>
          <t>vinodelnya-batrak-merlo-rozovoe-suhoe-13</t>
        </is>
      </c>
      <c r="K21">
        <f>IF(C21="","",IFERROR(MATCH(C21,F21:J21,0),"нет"))</f>
        <v/>
      </c>
      <c r="L21">
        <f>IF(C21="","",IF(K21=1,1,0))</f>
        <v/>
      </c>
      <c r="M21">
        <f>IF(C21="","",IF(ISNUMBER(K21),1,0))</f>
        <v/>
      </c>
      <c r="N21" t="inlineStr">
        <is>
          <t>Мерло — Литавщук. Litavshchuk vineyards &amp; winery — Красное сухое</t>
        </is>
      </c>
      <c r="O21" t="inlineStr">
        <is>
          <t>Мерло — Винодельня Бегильдеева — Красное сухое</t>
        </is>
      </c>
      <c r="P21" t="inlineStr">
        <is>
          <t>Каберне Совиньон – Мерло — Винодельня Бегильдеева — Красное сухое</t>
        </is>
      </c>
      <c r="Q21" t="inlineStr">
        <is>
          <t>Мерло — Галицкий и Галицкий — Красное сухое</t>
        </is>
      </c>
      <c r="R21" t="inlineStr">
        <is>
          <t>Мерло — Винодельня Батрак — Розовое сухое</t>
        </is>
      </c>
      <c r="S21" s="3" t="n">
        <v>0.9999992847442627</v>
      </c>
      <c r="T21" s="3" t="n">
        <v>3.466325040335505e-07</v>
      </c>
      <c r="U21" t="n">
        <v>938.04</v>
      </c>
    </row>
    <row r="22">
      <c r="A22" t="inlineStr">
        <is>
          <t>92.21_19-08-2026_18-57-31.webp</t>
        </is>
      </c>
      <c r="B22" t="inlineStr">
        <is>
          <t>уверенно</t>
        </is>
      </c>
      <c r="C22" t="inlineStr">
        <is>
          <t>belaya-lvicza</t>
        </is>
      </c>
      <c r="D22" t="inlineStr">
        <is>
          <t>Белая Львица белое полусладкое — АРАТТИ — Белое полусладкое</t>
        </is>
      </c>
      <c r="F22" t="inlineStr">
        <is>
          <t>belaya-lvicza</t>
        </is>
      </c>
      <c r="G22" t="inlineStr">
        <is>
          <t>chernaya-lvicza-polusladkoe-krasnoe</t>
        </is>
      </c>
      <c r="H22" t="inlineStr">
        <is>
          <t>aratti-muskat-belyj-suhoe</t>
        </is>
      </c>
      <c r="I22" t="inlineStr">
        <is>
          <t>rozovaya-pantera</t>
        </is>
      </c>
      <c r="J22" t="inlineStr">
        <is>
          <t>aratti-muskat-belyj-polusuhoe</t>
        </is>
      </c>
      <c r="K22">
        <f>IF(C22="","",IFERROR(MATCH(C22,F22:J22,0),"нет"))</f>
        <v/>
      </c>
      <c r="L22">
        <f>IF(C22="","",IF(K22=1,1,0))</f>
        <v/>
      </c>
      <c r="M22">
        <f>IF(C22="","",IF(ISNUMBER(K22),1,0))</f>
        <v/>
      </c>
      <c r="N22" t="inlineStr">
        <is>
          <t>Белая Львица белое полусладкое — АРАТТИ — Белое полусладкое</t>
        </is>
      </c>
      <c r="O22" t="inlineStr">
        <is>
          <t>Черная Львица полусладкое красное — АРАТТИ — Красное полусладкое</t>
        </is>
      </c>
      <c r="P22" t="inlineStr">
        <is>
          <t>АРАТТИ Мускат белый сухое — АРАТТИ — Белое сухое</t>
        </is>
      </c>
      <c r="Q22" t="inlineStr">
        <is>
          <t>Розовая Пантера полусладкое розовое — АРАТТИ — Розовое полусладкое</t>
        </is>
      </c>
      <c r="R22" t="inlineStr">
        <is>
          <t>АРАТТИ Мускат белый полусухое — АРАТТИ — Белое полусухое</t>
        </is>
      </c>
      <c r="S22" s="3" t="n">
        <v>0.9999998807907104</v>
      </c>
      <c r="T22" s="3" t="n">
        <v>8.764247638737288e-08</v>
      </c>
      <c r="U22" t="n">
        <v>543.16</v>
      </c>
    </row>
    <row r="23">
      <c r="A23" t="inlineStr">
        <is>
          <t>92.6_07-09-2026_11-04-40.webp</t>
        </is>
      </c>
      <c r="B23" t="inlineStr">
        <is>
          <t>уверенно</t>
        </is>
      </c>
      <c r="C23" t="inlineStr">
        <is>
          <t>aratti-kaberne-sovinon-2020-krasnoe-suhoe</t>
        </is>
      </c>
      <c r="D23" t="inlineStr">
        <is>
          <t>АРАТТИ Каберне Совиньон 2020 красное сухое — АРАТТИ — Красное сухое</t>
        </is>
      </c>
      <c r="F23" t="inlineStr">
        <is>
          <t>aratti-kaberne-sovinon-2020-krasnoe-suhoe</t>
        </is>
      </c>
      <c r="G23" t="inlineStr">
        <is>
          <t>aratti-kaberne-sovinon-2021-krasnoe-suhoe</t>
        </is>
      </c>
      <c r="H23" t="inlineStr">
        <is>
          <t>artvin-kaberne-sovinon-grand-rezerv-krasnoe-suhoe-13</t>
        </is>
      </c>
      <c r="I23" t="inlineStr">
        <is>
          <t>vinodelnya-begildeeva-kaberne-sovinon-krasnoe-suhoe-14</t>
        </is>
      </c>
      <c r="J23" t="inlineStr">
        <is>
          <t>aratti-sovinon-blan-beloe-polusuhoe</t>
        </is>
      </c>
      <c r="K23">
        <f>IF(C23="","",IFERROR(MATCH(C23,F23:J23,0),"нет"))</f>
        <v/>
      </c>
      <c r="L23">
        <f>IF(C23="","",IF(K23=1,1,0))</f>
        <v/>
      </c>
      <c r="M23">
        <f>IF(C23="","",IF(ISNUMBER(K23),1,0))</f>
        <v/>
      </c>
      <c r="N23" t="inlineStr">
        <is>
          <t>АРАТТИ Каберне Совиньон 2020 красное сухое — АРАТТИ — Красное сухое</t>
        </is>
      </c>
      <c r="O23" t="inlineStr">
        <is>
          <t>АРАТТИ Каберне Совиньон 2021 красное сухое — АРАТТИ — Красное сухое</t>
        </is>
      </c>
      <c r="P23" t="inlineStr">
        <is>
          <t>Каберне Совиньон Гранд Резерв — Артвин — Красное сухое</t>
        </is>
      </c>
      <c r="Q23" t="inlineStr">
        <is>
          <t>Каберне Совиньон — Винодельня Бегильдеева — Красное сухое</t>
        </is>
      </c>
      <c r="R23" t="inlineStr">
        <is>
          <t>АРАТТИ Совиньон блан белое полусухое — АРАТТИ — Белое полусухое</t>
        </is>
      </c>
      <c r="S23" s="3" t="n">
        <v>0.9999997615814209</v>
      </c>
      <c r="T23" s="3" t="n">
        <v>8.764246217651817e-08</v>
      </c>
      <c r="U23" t="n">
        <v>598.14</v>
      </c>
    </row>
    <row r="24">
      <c r="A24" t="inlineStr">
        <is>
          <t>92.94_21-08-2026_19-37-08.webp</t>
        </is>
      </c>
      <c r="B24" t="inlineStr">
        <is>
          <t>не уверен</t>
        </is>
      </c>
      <c r="C24" t="inlineStr">
        <is>
          <t>denisov-winery-sovinon-blan-beloe-suhoe-115</t>
        </is>
      </c>
      <c r="D24" t="inlineStr">
        <is>
          <t>Совиньон Блан — Denisov Winery — Белое сухое</t>
        </is>
      </c>
      <c r="E24" t="inlineStr">
        <is>
          <t>есть такое, но этикетка черная, а не белая</t>
        </is>
      </c>
      <c r="F24" t="inlineStr">
        <is>
          <t>denisov-winery-sovinon-blan-beloe-suhoe-115</t>
        </is>
      </c>
      <c r="G24" t="inlineStr">
        <is>
          <t>dubinin-winery-sovinon-blan-beloe-suhoe-12</t>
        </is>
      </c>
      <c r="H24" t="inlineStr">
        <is>
          <t>zhemchuzhnaya-9-sovinon-blan-aligote</t>
        </is>
      </c>
      <c r="I24" t="inlineStr">
        <is>
          <t>sovinon-blan</t>
        </is>
      </c>
      <c r="J24" t="inlineStr">
        <is>
          <t>blagolyubov-sovinon-blan-beloe-suhoe-125</t>
        </is>
      </c>
      <c r="K24">
        <f>IF(C24="","",IFERROR(MATCH(C24,F24:J24,0),"нет"))</f>
        <v/>
      </c>
      <c r="L24">
        <f>IF(C24="","",IF(K24=1,1,0))</f>
        <v/>
      </c>
      <c r="M24">
        <f>IF(C24="","",IF(ISNUMBER(K24),1,0))</f>
        <v/>
      </c>
      <c r="N24" t="inlineStr">
        <is>
          <t>Совиньон Блан — Denisov Winery — Белое сухое</t>
        </is>
      </c>
      <c r="O24" t="inlineStr">
        <is>
          <t>Совиньон Блан — Dubinin Winery — Белое сухое</t>
        </is>
      </c>
      <c r="P24" t="inlineStr">
        <is>
          <t>Жемчужная 9 Совиньон блан, Алиготе — АРАТТИ — Белое сухое</t>
        </is>
      </c>
      <c r="Q24" t="inlineStr">
        <is>
          <t>Совиньон Блан — Литавщук. Litavshchuk vineyards &amp; winery — Белое полусладкое</t>
        </is>
      </c>
      <c r="R24" t="inlineStr">
        <is>
          <t>Совиньон Блан — Благолюбов — Белое сухое</t>
        </is>
      </c>
      <c r="S24" s="3" t="n">
        <v>0.9999996423721313</v>
      </c>
      <c r="T24" s="3" t="n">
        <v>2.382368791131739e-07</v>
      </c>
      <c r="U24" t="n">
        <v>881.96</v>
      </c>
    </row>
    <row r="25">
      <c r="A25" t="inlineStr">
        <is>
          <t>92.96_19-08-2026_21-07-12.webp</t>
        </is>
      </c>
      <c r="B25" t="inlineStr">
        <is>
          <t>уверенно</t>
        </is>
      </c>
      <c r="C25" t="inlineStr">
        <is>
          <t>aratti-kaberne-sovinon-2020-krasnoe-suhoe</t>
        </is>
      </c>
      <c r="D25" t="inlineStr">
        <is>
          <t>АРАТТИ Каберне Совиньон 2020 красное сухое — АРАТТИ — Красное сухое</t>
        </is>
      </c>
      <c r="F25" t="inlineStr">
        <is>
          <t>aratti-kaberne-sovinon-2020-krasnoe-suhoe</t>
        </is>
      </c>
      <c r="G25" t="inlineStr">
        <is>
          <t>aratti-kaberne-sovinon-2021-krasnoe-suhoe</t>
        </is>
      </c>
      <c r="H25" t="inlineStr">
        <is>
          <t>artvin-kaberne-sovinon-grand-rezerv-krasnoe-suhoe-13</t>
        </is>
      </c>
      <c r="I25" t="inlineStr">
        <is>
          <t>vinodelnya-begildeeva-kaberne-sovinon-krasnoe-suhoe-14</t>
        </is>
      </c>
      <c r="J25" t="inlineStr">
        <is>
          <t>aratti-vremena-goda-saperavi-leto</t>
        </is>
      </c>
      <c r="K25">
        <f>IF(C25="","",IFERROR(MATCH(C25,F25:J25,0),"нет"))</f>
        <v/>
      </c>
      <c r="L25">
        <f>IF(C25="","",IF(K25=1,1,0))</f>
        <v/>
      </c>
      <c r="M25">
        <f>IF(C25="","",IF(ISNUMBER(K25),1,0))</f>
        <v/>
      </c>
      <c r="N25" t="inlineStr">
        <is>
          <t>АРАТТИ Каберне Совиньон 2020 красное сухое — АРАТТИ — Красное сухое</t>
        </is>
      </c>
      <c r="O25" t="inlineStr">
        <is>
          <t>АРАТТИ Каберне Совиньон 2021 красное сухое — АРАТТИ — Красное сухое</t>
        </is>
      </c>
      <c r="P25" t="inlineStr">
        <is>
          <t>Каберне Совиньон Гранд Резерв — Артвин — Красное сухое</t>
        </is>
      </c>
      <c r="Q25" t="inlineStr">
        <is>
          <t>Каберне Совиньон — Винодельня Бегильдеева — Красное сухое</t>
        </is>
      </c>
      <c r="R25" t="inlineStr">
        <is>
          <t>АРАТТИ Времена Года Саперави Лето — АРАТТИ — Красное сухое</t>
        </is>
      </c>
      <c r="S25" s="3" t="n">
        <v>0.9999997615814209</v>
      </c>
      <c r="T25" s="3" t="n">
        <v>1.125351474229319e-07</v>
      </c>
      <c r="U25" t="n">
        <v>651.5</v>
      </c>
    </row>
    <row r="26">
      <c r="A26" t="inlineStr">
        <is>
          <t>92.99_02-09-2026_04-20-19.webp</t>
        </is>
      </c>
      <c r="B26" t="inlineStr">
        <is>
          <t>нет в каталоге</t>
        </is>
      </c>
      <c r="F26" t="inlineStr">
        <is>
          <t>mont-blanc-blanc-de-blancs</t>
        </is>
      </c>
      <c r="G26" t="inlineStr">
        <is>
          <t>vinodelnya-myshako-rose-de-noirs-pino-nuar-rozovoe-bryut-123</t>
        </is>
      </c>
      <c r="H26" t="inlineStr">
        <is>
          <t>kuban-vino-vysokiy-bereg-grafit-roze-kaberne-sovinon-rozovoe-suhoe-12</t>
        </is>
      </c>
      <c r="I26" t="inlineStr">
        <is>
          <t>rozovaya-pantera</t>
        </is>
      </c>
      <c r="J26" t="inlineStr">
        <is>
          <t>usadba-divnomorskoe-rose-vione-rozovoe-suhoe-125</t>
        </is>
      </c>
      <c r="K26">
        <f>IF(C26="","",IFERROR(MATCH(C26,F26:J26,0),"нет"))</f>
        <v/>
      </c>
      <c r="L26">
        <f>IF(C26="","",IF(K26=1,1,0))</f>
        <v/>
      </c>
      <c r="M26">
        <f>IF(C26="","",IF(ISNUMBER(K26),1,0))</f>
        <v/>
      </c>
      <c r="N26" t="inlineStr">
        <is>
          <t>Mont Blanc, Blanc de Blancs — Шато АЛВИСА — Белое брют</t>
        </is>
      </c>
      <c r="O26" t="inlineStr">
        <is>
          <t>Rose De Noirs — Мысхако — Розовое брют</t>
        </is>
      </c>
      <c r="P26" t="inlineStr">
        <is>
          <t>Высокий Берег Графит Розе — Кубань-Вино — Розовое сухое</t>
        </is>
      </c>
      <c r="Q26" t="inlineStr">
        <is>
          <t>Розовая Пантера полусладкое розовое — АРАТТИ — Розовое полусладкое</t>
        </is>
      </c>
      <c r="R26" t="inlineStr">
        <is>
          <t>Rose — Усадьба Дивноморское — Розовое сухое</t>
        </is>
      </c>
      <c r="S26" s="3" t="n">
        <v>0.9992423057556152</v>
      </c>
      <c r="T26" s="3" t="n">
        <v>0.0007096362533047795</v>
      </c>
      <c r="U26" t="n">
        <v>719.6</v>
      </c>
    </row>
    <row r="27">
      <c r="A27" t="inlineStr">
        <is>
          <t>93.31_05-09-2026_13-39-37.webp</t>
        </is>
      </c>
      <c r="B27" t="inlineStr">
        <is>
          <t>уверенно</t>
        </is>
      </c>
      <c r="C27" t="inlineStr">
        <is>
          <t>golubitskoe-estate-noble-selection-red-blend-kaberne-sovinon-krasnoe-suhoe-136</t>
        </is>
      </c>
      <c r="D27" t="inlineStr">
        <is>
          <t>Noble Selection Red Blend — Golubitskoe Estate — Красное сухое</t>
        </is>
      </c>
      <c r="F27" t="inlineStr">
        <is>
          <t>golubitskoe-estate-noble-selection-red-blend-kaberne-sovinon-krasnoe-suhoe-136</t>
        </is>
      </c>
      <c r="G27" t="inlineStr">
        <is>
          <t>golubitskoe-estate-kaberne-sovinon-noble-selection-krasnoe-suhoe-133</t>
        </is>
      </c>
      <c r="H27" t="inlineStr">
        <is>
          <t>golubitskoe-estate-kaberne-sovinon-rezerv-krasnoe-suhoe-125</t>
        </is>
      </c>
      <c r="I27" t="inlineStr">
        <is>
          <t>golubitskoe-estate-noble-selection-white-blend-shardone-beloe-suhoe-135</t>
        </is>
      </c>
      <c r="J27" t="inlineStr">
        <is>
          <t>pomeste-golubitskoe-kaberne-sovinon-rezerv-krasnoe-suhoe-143</t>
        </is>
      </c>
      <c r="K27">
        <f>IF(C27="","",IFERROR(MATCH(C27,F27:J27,0),"нет"))</f>
        <v/>
      </c>
      <c r="L27">
        <f>IF(C27="","",IF(K27=1,1,0))</f>
        <v/>
      </c>
      <c r="M27">
        <f>IF(C27="","",IF(ISNUMBER(K27),1,0))</f>
        <v/>
      </c>
      <c r="N27" t="inlineStr">
        <is>
          <t>Noble Selection Red Blend — Golubitskoe Estate — Красное сухое</t>
        </is>
      </c>
      <c r="O27" t="inlineStr">
        <is>
          <t>Каберне Совиньон Noble Selection — Golubitskoe Estate — Красное сухое</t>
        </is>
      </c>
      <c r="P27" t="inlineStr">
        <is>
          <t>Каберне Совиньон Резерв — Golubitskoe Estate — Красное сухое</t>
        </is>
      </c>
      <c r="Q27" t="inlineStr">
        <is>
          <t>Noble Selection White Blend — Golubitskoe Estate — Белое сухое</t>
        </is>
      </c>
      <c r="R27" t="inlineStr">
        <is>
          <t>Каберне Совиньон Резерв — Golubitskoe Estate — Красное сухое</t>
        </is>
      </c>
      <c r="S27" s="3" t="n">
        <v>0.9999985694885254</v>
      </c>
      <c r="T27" s="3" t="n">
        <v>4.450845949577342e-07</v>
      </c>
      <c r="U27" t="n">
        <v>791.36</v>
      </c>
    </row>
    <row r="28">
      <c r="A28" t="inlineStr">
        <is>
          <t>93.43_05-09-2026_13-34-45.webp</t>
        </is>
      </c>
      <c r="B28" t="inlineStr">
        <is>
          <t>уверенно</t>
        </is>
      </c>
      <c r="C28" t="inlineStr">
        <is>
          <t>denisov_pet_nat_rubin</t>
        </is>
      </c>
      <c r="D28" t="inlineStr">
        <is>
          <t>Пет-Нат Рубин — Denisov Winery — Розовое экстра брют</t>
        </is>
      </c>
      <c r="F28" t="inlineStr">
        <is>
          <t>denisov_pet_nat_rubin</t>
        </is>
      </c>
      <c r="G28" t="inlineStr">
        <is>
          <t>denisov-winery-petnat-tsitron-risling-tsitronnyy-magaracha-beloe-ekstra-bryut-102</t>
        </is>
      </c>
      <c r="H28" t="inlineStr">
        <is>
          <t>denisov-winery-petnat-risling-beloe-ekstra-bryut-10</t>
        </is>
      </c>
      <c r="I28" t="inlineStr">
        <is>
          <t>fioletovyj-rannij-petnat</t>
        </is>
      </c>
      <c r="J28" t="inlineStr">
        <is>
          <t>denisov-winery-petnat-rkatsiteli-beloe-ekstra-bryut-107</t>
        </is>
      </c>
      <c r="K28">
        <f>IF(C28="","",IFERROR(MATCH(C28,F28:J28,0),"нет"))</f>
        <v/>
      </c>
      <c r="L28">
        <f>IF(C28="","",IF(K28=1,1,0))</f>
        <v/>
      </c>
      <c r="M28">
        <f>IF(C28="","",IF(ISNUMBER(K28),1,0))</f>
        <v/>
      </c>
      <c r="N28" t="inlineStr">
        <is>
          <t>Пет-Нат Рубин — Denisov Winery — Розовое экстра брют</t>
        </is>
      </c>
      <c r="O28" t="inlineStr">
        <is>
          <t>Петнат Цитрон - Рислинг — Denisov Winery — Белое экстра брют</t>
        </is>
      </c>
      <c r="P28" t="inlineStr">
        <is>
          <t>Петнат Рислинг — Denisov Winery — Белое экстра брют</t>
        </is>
      </c>
      <c r="Q28" t="inlineStr">
        <is>
          <t>Фиолетовый Ранний петнат — Гусевъ — Белое экстра брют</t>
        </is>
      </c>
      <c r="R28" t="inlineStr">
        <is>
          <t>Петнат Ркацители — Denisov Winery — Белое экстра брют</t>
        </is>
      </c>
      <c r="S28" s="3" t="n">
        <v>1</v>
      </c>
      <c r="T28" s="3" t="n">
        <v>1.52299808320322e-08</v>
      </c>
      <c r="U28" t="n">
        <v>610.34</v>
      </c>
    </row>
    <row r="29">
      <c r="A29" t="inlineStr">
        <is>
          <t>93.68_19-08-2026_20-44-28.webp</t>
        </is>
      </c>
      <c r="B29" t="inlineStr">
        <is>
          <t>уверенно</t>
        </is>
      </c>
      <c r="C29" t="inlineStr">
        <is>
          <t>zakat-denisov-vajneri</t>
        </is>
      </c>
      <c r="D29" t="inlineStr">
        <is>
          <t>Закат. Денисов Вайнери — Denisov Winery — Розовое сухое</t>
        </is>
      </c>
      <c r="F29" t="inlineStr">
        <is>
          <t>zakat-denisov-vajneri</t>
        </is>
      </c>
      <c r="G29" t="inlineStr">
        <is>
          <t>zhemchuzhnaya-9-pino-nuar-muskat-rozovyj</t>
        </is>
      </c>
      <c r="H29" t="inlineStr">
        <is>
          <t>vinodelnya-78-muskat-polusladkoe-muskat-ottonel-beloe-115</t>
        </is>
      </c>
      <c r="I29" t="inlineStr">
        <is>
          <t>rozovaya-pantera</t>
        </is>
      </c>
      <c r="J29" t="inlineStr">
        <is>
          <t>zhemchuzhnaya-9-pino-nuar-muskat-rozovyj-1</t>
        </is>
      </c>
      <c r="K29">
        <f>IF(C29="","",IFERROR(MATCH(C29,F29:J29,0),"нет"))</f>
        <v/>
      </c>
      <c r="L29">
        <f>IF(C29="","",IF(K29=1,1,0))</f>
        <v/>
      </c>
      <c r="M29">
        <f>IF(C29="","",IF(ISNUMBER(K29),1,0))</f>
        <v/>
      </c>
      <c r="N29" t="inlineStr">
        <is>
          <t>Закат. Денисов Вайнери — Denisov Winery — Розовое сухое</t>
        </is>
      </c>
      <c r="O29" t="inlineStr">
        <is>
          <t>Жемчужная 9 Пино Нуар, Мускат Розовый — АРАТТИ — Розовое сухое</t>
        </is>
      </c>
      <c r="P29" t="inlineStr">
        <is>
          <t>Мускат полусладкое — Винодельня 78 — Белое полусладкое</t>
        </is>
      </c>
      <c r="Q29" t="inlineStr">
        <is>
          <t>Розовая Пантера полусладкое розовое — АРАТТИ — Розовое полусладкое</t>
        </is>
      </c>
      <c r="R29" t="inlineStr">
        <is>
          <t>Жемчужная 9 Пино Нуар, Мускат розовый — АРАТТИ — Розовое полусухое</t>
        </is>
      </c>
      <c r="S29" s="3" t="n">
        <v>0.9999977350234985</v>
      </c>
      <c r="T29" s="3" t="n">
        <v>1.553496758788242e-06</v>
      </c>
      <c r="U29" t="n">
        <v>614.24</v>
      </c>
    </row>
    <row r="30">
      <c r="A30" t="inlineStr">
        <is>
          <t>93.84_02-09-2026_17-13-04.webp</t>
        </is>
      </c>
      <c r="B30" t="inlineStr">
        <is>
          <t>уверенно</t>
        </is>
      </c>
      <c r="C30" t="inlineStr">
        <is>
          <t>zakat-denisov-vajneri</t>
        </is>
      </c>
      <c r="D30" t="inlineStr">
        <is>
          <t>Закат. Денисов Вайнери — Denisov Winery — Розовое сухое</t>
        </is>
      </c>
      <c r="F30" t="inlineStr">
        <is>
          <t>zakat-denisov-vajneri</t>
        </is>
      </c>
      <c r="G30" t="inlineStr">
        <is>
          <t>vinodelnya-78-muskat-polusladkoe-muskat-ottonel-beloe-115</t>
        </is>
      </c>
      <c r="H30" t="inlineStr">
        <is>
          <t>zhemchuzhnaya-9-pino-nuar-muskat-rozovyj</t>
        </is>
      </c>
      <c r="I30" t="inlineStr">
        <is>
          <t>rozovaya-pantera</t>
        </is>
      </c>
      <c r="J30" t="inlineStr">
        <is>
          <t>vinodelnya-vedernikov-tsimlyanskiy-chernyy-rozovyy-rozovoe-suhoe-125</t>
        </is>
      </c>
      <c r="K30">
        <f>IF(C30="","",IFERROR(MATCH(C30,F30:J30,0),"нет"))</f>
        <v/>
      </c>
      <c r="L30">
        <f>IF(C30="","",IF(K30=1,1,0))</f>
        <v/>
      </c>
      <c r="M30">
        <f>IF(C30="","",IF(ISNUMBER(K30),1,0))</f>
        <v/>
      </c>
      <c r="N30" t="inlineStr">
        <is>
          <t>Закат. Денисов Вайнери — Denisov Winery — Розовое сухое</t>
        </is>
      </c>
      <c r="O30" t="inlineStr">
        <is>
          <t>Мускат полусладкое — Винодельня 78 — Белое полусладкое</t>
        </is>
      </c>
      <c r="P30" t="inlineStr">
        <is>
          <t>Жемчужная 9 Пино Нуар, Мускат Розовый — АРАТТИ — Розовое сухое</t>
        </is>
      </c>
      <c r="Q30" t="inlineStr">
        <is>
          <t>Розовая Пантера полусладкое розовое — АРАТТИ — Розовое полусладкое</t>
        </is>
      </c>
      <c r="R30" t="inlineStr">
        <is>
          <t>Цимлянский Черный розовый — Ведерниковъ — Розовое сухое</t>
        </is>
      </c>
      <c r="S30" s="3" t="n">
        <v>0.9999998807907104</v>
      </c>
      <c r="T30" s="3" t="n">
        <v>7.734421103577915e-08</v>
      </c>
      <c r="U30" t="n">
        <v>559.1</v>
      </c>
    </row>
    <row r="31">
      <c r="A31" t="inlineStr">
        <is>
          <t>93.95_05-09-2026_15-29-36.webp</t>
        </is>
      </c>
      <c r="B31" t="inlineStr">
        <is>
          <t>нет в каталоге</t>
        </is>
      </c>
      <c r="F31" t="inlineStr">
        <is>
          <t>novyy-svet-dom-shampanskih-vin-igristoe-vino-vyderzhannoe-polusladkoe-rozovoe-novyy-svet-pino-fran-135</t>
        </is>
      </c>
      <c r="G31" t="inlineStr">
        <is>
          <t>valeriy-zaharin-aligote-burlyuk-beloe-bryut-115</t>
        </is>
      </c>
      <c r="H31" t="inlineStr">
        <is>
          <t>abrau-dyurso-imperial-kyuve-pino-nuar-rozovoe-bryut-125</t>
        </is>
      </c>
      <c r="I31" t="inlineStr">
        <is>
          <t>rozovoe-bryut-1</t>
        </is>
      </c>
      <c r="J31" t="inlineStr">
        <is>
          <t>valeriy-zaharin-aligote-avtorskoe-valeriy-zaharin-beloe-bryut-115</t>
        </is>
      </c>
      <c r="K31">
        <f>IF(C31="","",IFERROR(MATCH(C31,F31:J31,0),"нет"))</f>
        <v/>
      </c>
      <c r="L31">
        <f>IF(C31="","",IF(K31=1,1,0))</f>
        <v/>
      </c>
      <c r="M31">
        <f>IF(C31="","",IF(ISNUMBER(K31),1,0))</f>
        <v/>
      </c>
      <c r="N31" t="inlineStr">
        <is>
          <t>Игристое вино выдержанное полусладкое розовое «Новый Свет. Пино Фран» — Новый Свет. Дом шампанских вин — Розовое полусладкое</t>
        </is>
      </c>
      <c r="O31" t="inlineStr">
        <is>
          <t>Алиготе. Бурлюк — Валерий Захарьин — Белое брют</t>
        </is>
      </c>
      <c r="P31" t="inlineStr">
        <is>
          <t>Империал Кюве — Абрау-Дюрсо — Розовое брют</t>
        </is>
      </c>
      <c r="Q31" t="inlineStr">
        <is>
          <t>Розовое брют — Золотая Балка — Розовое брют</t>
        </is>
      </c>
      <c r="R31" t="inlineStr">
        <is>
          <t>Алиготе. Авторское. Валерий Захарьин — Валерий Захарьин — Белое брют</t>
        </is>
      </c>
      <c r="S31" s="3" t="n">
        <v>0.04139538481831551</v>
      </c>
      <c r="T31" s="3" t="n">
        <v>0.942154586315155</v>
      </c>
      <c r="U31" t="n">
        <v>824.1</v>
      </c>
    </row>
    <row r="32">
      <c r="A32" t="inlineStr">
        <is>
          <t>93.97_28-08-2026_16-02-48.webp</t>
        </is>
      </c>
      <c r="B32" t="inlineStr">
        <is>
          <t>нет в каталоге</t>
        </is>
      </c>
      <c r="F32" t="inlineStr">
        <is>
          <t>golubitskoe-estate-chardonnay</t>
        </is>
      </c>
      <c r="G32" t="inlineStr">
        <is>
          <t>golubitskoe-estate-shardone-rezerv-beloe-suhoe-135</t>
        </is>
      </c>
      <c r="H32" t="inlineStr">
        <is>
          <t>golubitskoe-estate-sovinon-blan-beloe-suhoe-11</t>
        </is>
      </c>
      <c r="I32" t="inlineStr">
        <is>
          <t>golubitskoe-estate-shardone-noble-selection-barrel-touch-beloe-suhoe-135</t>
        </is>
      </c>
      <c r="J32" t="inlineStr">
        <is>
          <t>pomeste-golubitskoe-shardone-rezerv-beloe-suhoe-132</t>
        </is>
      </c>
      <c r="K32">
        <f>IF(C32="","",IFERROR(MATCH(C32,F32:J32,0),"нет"))</f>
        <v/>
      </c>
      <c r="L32">
        <f>IF(C32="","",IF(K32=1,1,0))</f>
        <v/>
      </c>
      <c r="M32">
        <f>IF(C32="","",IF(ISNUMBER(K32),1,0))</f>
        <v/>
      </c>
      <c r="N32" t="inlineStr">
        <is>
          <t>Golubitskoe Estate Chardonnay — Поместье Голубицкое — Белое сухое</t>
        </is>
      </c>
      <c r="O32" t="inlineStr">
        <is>
          <t>Шардоне Резерв — Golubitskoe Estate — Белое сухое</t>
        </is>
      </c>
      <c r="P32" t="inlineStr">
        <is>
          <t>Совиньон Блан — Golubitskoe Estate — Белое сухое</t>
        </is>
      </c>
      <c r="Q32" t="inlineStr">
        <is>
          <t>Шардоне Noble Selection Barrel Touch — Golubitskoe Estate — Белое сухое</t>
        </is>
      </c>
      <c r="R32" t="inlineStr">
        <is>
          <t>Шардоне Резерв — Golubitskoe Estate — Белое сухое</t>
        </is>
      </c>
      <c r="S32" s="3" t="n">
        <v>0.9999991655349731</v>
      </c>
      <c r="T32" s="3" t="n">
        <v>2.102432148376465e-07</v>
      </c>
      <c r="U32" t="n">
        <v>674.79</v>
      </c>
    </row>
    <row r="33">
      <c r="A33" t="inlineStr">
        <is>
          <t>94.02_24-08-2026_17-46-57.webp</t>
        </is>
      </c>
      <c r="B33" t="inlineStr">
        <is>
          <t>уверенно</t>
        </is>
      </c>
      <c r="C33" t="inlineStr">
        <is>
          <t>rubin-golodrigi</t>
        </is>
      </c>
      <c r="D33" t="inlineStr">
        <is>
          <t>Рубин Голодриги  — Табия — Красное сухое</t>
        </is>
      </c>
      <c r="F33" t="inlineStr">
        <is>
          <t>rubin-golodrigi</t>
        </is>
      </c>
      <c r="G33" t="inlineStr">
        <is>
          <t>kaberne-sovinon-2</t>
        </is>
      </c>
      <c r="H33" t="inlineStr">
        <is>
          <t>bukovinka</t>
        </is>
      </c>
      <c r="I33" t="inlineStr">
        <is>
          <t>oleg</t>
        </is>
      </c>
      <c r="J33" t="inlineStr">
        <is>
          <t>roze-2</t>
        </is>
      </c>
      <c r="K33">
        <f>IF(C33="","",IFERROR(MATCH(C33,F33:J33,0),"нет"))</f>
        <v/>
      </c>
      <c r="L33">
        <f>IF(C33="","",IF(K33=1,1,0))</f>
        <v/>
      </c>
      <c r="M33">
        <f>IF(C33="","",IF(ISNUMBER(K33),1,0))</f>
        <v/>
      </c>
      <c r="N33" t="inlineStr">
        <is>
          <t>Рубин Голодриги  — Табия — Красное сухое</t>
        </is>
      </c>
      <c r="O33" t="inlineStr">
        <is>
          <t>Каберне Совиньон — Табия — Красное сухое</t>
        </is>
      </c>
      <c r="P33" t="inlineStr">
        <is>
          <t>Буковинка — Табия — Белое полусухое</t>
        </is>
      </c>
      <c r="Q33" t="inlineStr">
        <is>
          <t>Олег — Табия — Белое сухое</t>
        </is>
      </c>
      <c r="R33" t="inlineStr">
        <is>
          <t>Розе — Табия — Розовое сухое</t>
        </is>
      </c>
      <c r="S33" s="3" t="n">
        <v>1</v>
      </c>
      <c r="T33" s="3" t="n">
        <v>4.139937814784389e-08</v>
      </c>
      <c r="U33" t="n">
        <v>565.63</v>
      </c>
    </row>
    <row r="34">
      <c r="A34" t="inlineStr">
        <is>
          <t>94.43_05-09-2026_15-29-25.webp</t>
        </is>
      </c>
      <c r="B34" t="inlineStr">
        <is>
          <t>нет в каталоге</t>
        </is>
      </c>
      <c r="F34" t="inlineStr">
        <is>
          <t>rozovoe-bryut-1</t>
        </is>
      </c>
      <c r="G34" t="inlineStr">
        <is>
          <t>novyy-svet-dom-shampanskih-vin-igristoe-vino-vyderzhannoe-polusladkoe-rozovoe-novyy-svet-pino-fran-135</t>
        </is>
      </c>
      <c r="H34" t="inlineStr">
        <is>
          <t>balaklava-bryut-rezerv</t>
        </is>
      </c>
      <c r="I34" t="inlineStr">
        <is>
          <t>vinodelnya-78-muskat-polusladkoe-muskat-ottonel-beloe-115</t>
        </is>
      </c>
      <c r="J34" t="inlineStr">
        <is>
          <t>valeriy-zaharin-aligote-avtorskoe-valeriy-zaharin-beloe-bryut-115</t>
        </is>
      </c>
      <c r="K34">
        <f>IF(C34="","",IFERROR(MATCH(C34,F34:J34,0),"нет"))</f>
        <v/>
      </c>
      <c r="L34">
        <f>IF(C34="","",IF(K34=1,1,0))</f>
        <v/>
      </c>
      <c r="M34">
        <f>IF(C34="","",IF(ISNUMBER(K34),1,0))</f>
        <v/>
      </c>
      <c r="N34" t="inlineStr">
        <is>
          <t>Розовое брют — Золотая Балка — Розовое брют</t>
        </is>
      </c>
      <c r="O34" t="inlineStr">
        <is>
          <t>Игристое вино выдержанное полусладкое розовое «Новый Свет. Пино Фран» — Новый Свет. Дом шампанских вин — Розовое полусладкое</t>
        </is>
      </c>
      <c r="P34" t="inlineStr">
        <is>
          <t>Балаклава Брют Резерв — Золотая Балка — Белое брют</t>
        </is>
      </c>
      <c r="Q34" t="inlineStr">
        <is>
          <t>Мускат полусладкое — Винодельня 78 — Белое полусладкое</t>
        </is>
      </c>
      <c r="R34" t="inlineStr">
        <is>
          <t>Алиготе. Авторское. Валерий Захарьин — Валерий Захарьин — Белое брют</t>
        </is>
      </c>
      <c r="S34" s="3" t="n">
        <v>0.6717734932899475</v>
      </c>
      <c r="T34" s="3" t="n">
        <v>0.3173233270645142</v>
      </c>
      <c r="U34" t="n">
        <v>910.04</v>
      </c>
    </row>
    <row r="35">
      <c r="A35" t="inlineStr">
        <is>
          <t>94.55_02-09-2026_16-53-08.webp</t>
        </is>
      </c>
      <c r="B35" t="inlineStr">
        <is>
          <t>уверенно</t>
        </is>
      </c>
      <c r="C35" t="inlineStr">
        <is>
          <t>denisov_pazori_risling</t>
        </is>
      </c>
      <c r="D35" t="inlineStr">
        <is>
          <t>Пазори Рислинг — Denisov Winery — Белое брют</t>
        </is>
      </c>
      <c r="F35" t="inlineStr">
        <is>
          <t>denisov_pazori_risling</t>
        </is>
      </c>
      <c r="G35" t="inlineStr">
        <is>
          <t>denisov-winery-pino-nuar-shardone-ekstra-bryut-beloe-125</t>
        </is>
      </c>
      <c r="H35" t="inlineStr">
        <is>
          <t>vinodelnya-zhakov-saperavi-vyderzhannoe-krasnoe-suhoe-115</t>
        </is>
      </c>
      <c r="I35" t="inlineStr">
        <is>
          <t>vinodelnya-uzunov-nrav-krasnostop-zolotovskiy-krasnoe-suhoe-132</t>
        </is>
      </c>
      <c r="J35" t="inlineStr">
        <is>
          <t>usadba-aleksandrovskaya-bubnovyy-valet-kaberne-sovinon-krasnoe-polusladkoe-13</t>
        </is>
      </c>
      <c r="K35">
        <f>IF(C35="","",IFERROR(MATCH(C35,F35:J35,0),"нет"))</f>
        <v/>
      </c>
      <c r="L35">
        <f>IF(C35="","",IF(K35=1,1,0))</f>
        <v/>
      </c>
      <c r="M35">
        <f>IF(C35="","",IF(ISNUMBER(K35),1,0))</f>
        <v/>
      </c>
      <c r="N35" t="inlineStr">
        <is>
          <t>Пазори Рислинг — Denisov Winery — Белое брют</t>
        </is>
      </c>
      <c r="O35" t="inlineStr">
        <is>
          <t>Пино Нуар - Шардоне экстра брют — Denisov Winery — Белое экстра брют</t>
        </is>
      </c>
      <c r="P35" t="inlineStr">
        <is>
          <t>Саперави выдержанное — Винодельня Жаков — Красное сухое</t>
        </is>
      </c>
      <c r="Q35" t="inlineStr">
        <is>
          <t>Нрав — Винодельня Узунов — Красное сухое</t>
        </is>
      </c>
      <c r="R35" t="inlineStr">
        <is>
          <t>Бубновый Валет — Усадьба Александровская — Красное полусладкое</t>
        </is>
      </c>
      <c r="S35" s="3" t="n">
        <v>0.999468982219696</v>
      </c>
      <c r="T35" s="3" t="n">
        <v>0.0004878360778093338</v>
      </c>
      <c r="U35" t="n">
        <v>1176.15</v>
      </c>
    </row>
    <row r="36">
      <c r="A36" t="inlineStr">
        <is>
          <t>94.72_21-08-2026_15-41-48.webp</t>
        </is>
      </c>
      <c r="B36" t="inlineStr">
        <is>
          <t>не уверен</t>
        </is>
      </c>
      <c r="C36" t="inlineStr">
        <is>
          <t>derbent-vino-desono-kaberne-sovinon-krasnoe-suhoe-125</t>
        </is>
      </c>
      <c r="D36" t="inlineStr">
        <is>
          <t>Дэсоно Каберне Совиньон — Дербент Вино — Красное сухое</t>
        </is>
      </c>
      <c r="E36" t="inlineStr">
        <is>
          <t>есть такое, но надпись внизу несоответствует, она больше. но фактически одно и то же</t>
        </is>
      </c>
      <c r="F36" t="inlineStr">
        <is>
          <t>derbent-vino-desono-kaberne-sovinon-krasnoe-suhoe-125</t>
        </is>
      </c>
      <c r="G36" t="inlineStr">
        <is>
          <t>derbent-vino-desono-kaberne-fran-krasnoe-suhoe-125</t>
        </is>
      </c>
      <c r="H36" t="inlineStr">
        <is>
          <t>derbent-vino-desono-merlo-krasnoe-suhoe-125</t>
        </is>
      </c>
      <c r="I36" t="inlineStr">
        <is>
          <t>derbent-vino-desono-risling-beloe-suhoe-125</t>
        </is>
      </c>
      <c r="J36" t="inlineStr">
        <is>
          <t>derbent-vino-desono-shardone-beloe-suhoe-125</t>
        </is>
      </c>
      <c r="K36">
        <f>IF(C36="","",IFERROR(MATCH(C36,F36:J36,0),"нет"))</f>
        <v/>
      </c>
      <c r="L36">
        <f>IF(C36="","",IF(K36=1,1,0))</f>
        <v/>
      </c>
      <c r="M36">
        <f>IF(C36="","",IF(ISNUMBER(K36),1,0))</f>
        <v/>
      </c>
      <c r="N36" t="inlineStr">
        <is>
          <t>Дэсоно Каберне Совиньон — Дербент Вино — Красное сухое</t>
        </is>
      </c>
      <c r="O36" t="inlineStr">
        <is>
          <t>Дэсоно Каберне Фран — Дербент Вино — Красное сухое</t>
        </is>
      </c>
      <c r="P36" t="inlineStr">
        <is>
          <t>Дэсоно Мерло — Дербент Вино — Красное сухое</t>
        </is>
      </c>
      <c r="Q36" t="inlineStr">
        <is>
          <t>Дэсоно Рислинг — Дербент Вино — Белое сухое</t>
        </is>
      </c>
      <c r="R36" t="inlineStr">
        <is>
          <t>Дэсоно Шардоне — Дербент Вино — Белое сухое</t>
        </is>
      </c>
      <c r="S36" s="3" t="n">
        <v>0.9999988079071045</v>
      </c>
      <c r="T36" s="3" t="n">
        <v>3.059019491047366e-07</v>
      </c>
      <c r="U36" t="n">
        <v>581.46</v>
      </c>
    </row>
    <row r="37">
      <c r="A37" t="inlineStr">
        <is>
          <t>94.7_25-08-2026_15-52-07.webp</t>
        </is>
      </c>
      <c r="B37" t="inlineStr">
        <is>
          <t>уверенно</t>
        </is>
      </c>
      <c r="C37" t="inlineStr">
        <is>
          <t>czitronnyj-magaracha-sovinon-blan</t>
        </is>
      </c>
      <c r="D37" t="inlineStr">
        <is>
          <t>Жемчужная 9 Цитрон, Совиньон блан — АРАТТИ — Белое полусухое</t>
        </is>
      </c>
      <c r="F37" t="inlineStr">
        <is>
          <t>czitronnyj-magaracha-sovinon-blan</t>
        </is>
      </c>
      <c r="G37" t="inlineStr">
        <is>
          <t>zhemchuzhnaya-9-czitron-shardone-1</t>
        </is>
      </c>
      <c r="H37" t="inlineStr">
        <is>
          <t>zhemchuzhnaya-9-aligote-czitron</t>
        </is>
      </c>
      <c r="I37" t="inlineStr">
        <is>
          <t>zhemchuzhnaya-9-czitron-shardone</t>
        </is>
      </c>
      <c r="J37" t="inlineStr">
        <is>
          <t>zhemchuzhnaya-9-sovinon-blan-aligote</t>
        </is>
      </c>
      <c r="K37">
        <f>IF(C37="","",IFERROR(MATCH(C37,F37:J37,0),"нет"))</f>
        <v/>
      </c>
      <c r="L37">
        <f>IF(C37="","",IF(K37=1,1,0))</f>
        <v/>
      </c>
      <c r="M37">
        <f>IF(C37="","",IF(ISNUMBER(K37),1,0))</f>
        <v/>
      </c>
      <c r="N37" t="inlineStr">
        <is>
          <t>Жемчужная 9 Цитрон, Совиньон блан — АРАТТИ — Белое полусухое</t>
        </is>
      </c>
      <c r="O37" t="inlineStr">
        <is>
          <t>Жемчужная 9 Цитрон, Шардоне — АРАТТИ — Белое полусладкое</t>
        </is>
      </c>
      <c r="P37" t="inlineStr">
        <is>
          <t>Жемчужная 9 Алиготе, Цитрон — АРАТТИ — Белое сухое</t>
        </is>
      </c>
      <c r="Q37" t="inlineStr">
        <is>
          <t>Жемчужная 9 Цитрон, Шардоне — АРАТТИ — Белое сухое</t>
        </is>
      </c>
      <c r="R37" t="inlineStr">
        <is>
          <t>Жемчужная 9 Совиньон блан, Алиготе — АРАТТИ — Белое сухое</t>
        </is>
      </c>
      <c r="S37" s="3" t="n">
        <v>0.9999997615814209</v>
      </c>
      <c r="T37" s="3" t="n">
        <v>1.125351474229319e-07</v>
      </c>
      <c r="U37" t="n">
        <v>568.71</v>
      </c>
    </row>
    <row r="38">
      <c r="A38" t="inlineStr">
        <is>
          <t>94.83_27-08-2026_14-29-28.webp</t>
        </is>
      </c>
      <c r="B38" t="inlineStr">
        <is>
          <t>нет в каталоге</t>
        </is>
      </c>
      <c r="F38" t="inlineStr">
        <is>
          <t>shato-pino-sovinon-blan-semilon-beloe-suhoe-115</t>
        </is>
      </c>
      <c r="G38" t="inlineStr">
        <is>
          <t>shato-pino-gravitatsiya-kaberne-sovinon-merlo-krasnoe-suhoe-135</t>
        </is>
      </c>
      <c r="H38" t="inlineStr">
        <is>
          <t>shato-pino-marselan-merlo-krasnoe-suhoe-13</t>
        </is>
      </c>
      <c r="I38" t="inlineStr">
        <is>
          <t>shato-pino-aligote-rkatsiteli-beloe-suhoe-12</t>
        </is>
      </c>
      <c r="J38" t="inlineStr">
        <is>
          <t>shato-pino-shardone-beloe-suhoe-125</t>
        </is>
      </c>
      <c r="K38">
        <f>IF(C38="","",IFERROR(MATCH(C38,F38:J38,0),"нет"))</f>
        <v/>
      </c>
      <c r="L38">
        <f>IF(C38="","",IF(K38=1,1,0))</f>
        <v/>
      </c>
      <c r="M38">
        <f>IF(C38="","",IF(ISNUMBER(K38),1,0))</f>
        <v/>
      </c>
      <c r="N38" t="inlineStr">
        <is>
          <t>Совиньон Блан - Семильон — Шато Пино — Белое сухое</t>
        </is>
      </c>
      <c r="O38" t="inlineStr">
        <is>
          <t>Гравитация. Каберне Совиньон - Мерло — Шато Пино — Красное сухое</t>
        </is>
      </c>
      <c r="P38" t="inlineStr">
        <is>
          <t>Марселан - Мерло — Шато Пино — Красное сухое</t>
        </is>
      </c>
      <c r="Q38" t="inlineStr">
        <is>
          <t>Алиготе - Ркацители белое сухое — Шато Пино — Белое сухое</t>
        </is>
      </c>
      <c r="R38" t="inlineStr">
        <is>
          <t>Шардоне — Шато Пино — Белое сухое</t>
        </is>
      </c>
      <c r="S38" s="3" t="n">
        <v>0.7512252926826477</v>
      </c>
      <c r="T38" s="3" t="n">
        <v>0.2438871264457703</v>
      </c>
      <c r="U38" t="n">
        <v>569.9400000000001</v>
      </c>
    </row>
    <row r="39">
      <c r="A39" t="inlineStr">
        <is>
          <t>94.8_01-09-2026_10-10-02.webp</t>
        </is>
      </c>
      <c r="B39" t="inlineStr">
        <is>
          <t>нет в каталоге</t>
        </is>
      </c>
      <c r="F39" t="inlineStr">
        <is>
          <t>vinodelnya-pokrovskaya-pokrovskoe-sladkoe-krasnoe-kaberne-sovinon-13</t>
        </is>
      </c>
      <c r="G39" t="inlineStr">
        <is>
          <t>massandra-muskat-belyy-yuzhnoberezhnyy-beloe-sladkoe-16</t>
        </is>
      </c>
      <c r="H39" t="inlineStr">
        <is>
          <t>massandra-portveyn-krasnyy-alushta-krasnye-sorta-vinograda-krasnoe-sladkoe-17</t>
        </is>
      </c>
      <c r="I39" t="inlineStr">
        <is>
          <t>kaberne-sovinon</t>
        </is>
      </c>
      <c r="J39" t="inlineStr">
        <is>
          <t>massandra-portveyn-krasnyy-livadiya-kaberne-sovinon-krasnoe-sladkoe-185</t>
        </is>
      </c>
      <c r="K39">
        <f>IF(C39="","",IFERROR(MATCH(C39,F39:J39,0),"нет"))</f>
        <v/>
      </c>
      <c r="L39">
        <f>IF(C39="","",IF(K39=1,1,0))</f>
        <v/>
      </c>
      <c r="M39">
        <f>IF(C39="","",IF(ISNUMBER(K39),1,0))</f>
        <v/>
      </c>
      <c r="N39" t="inlineStr">
        <is>
          <t>Покровское сладкое красное — Винодельня Покровская — Красное сладкое</t>
        </is>
      </c>
      <c r="O39" t="inlineStr">
        <is>
          <t>Мускат Белый Южнобережный — Массандра — Белое сладкое</t>
        </is>
      </c>
      <c r="P39" t="inlineStr">
        <is>
          <t>Портвейн красный Алушта — Массандра — Красное сладкое</t>
        </is>
      </c>
      <c r="Q39" t="inlineStr">
        <is>
          <t>Каберне Совиньон — Массандра — Красное сладкое</t>
        </is>
      </c>
      <c r="R39" t="inlineStr">
        <is>
          <t>Портвейн красный Ливадия — Массандра — Красное сладкое</t>
        </is>
      </c>
      <c r="S39" s="3" t="n">
        <v>0.1473920792341232</v>
      </c>
      <c r="T39" s="3" t="n">
        <v>0.8481829166412354</v>
      </c>
      <c r="U39" t="n">
        <v>691.92</v>
      </c>
    </row>
    <row r="40">
      <c r="A40" t="inlineStr">
        <is>
          <t>94.94_05-09-2026_15-04-50.webp</t>
        </is>
      </c>
      <c r="B40" t="inlineStr">
        <is>
          <t>не уверен</t>
        </is>
      </c>
      <c r="C40" t="inlineStr">
        <is>
          <t>denisov-winery-sovinon-blan-beloe-suhoe-115</t>
        </is>
      </c>
      <c r="D40" t="inlineStr">
        <is>
          <t>Совиньон Блан — Denisov Winery — Белое сухое</t>
        </is>
      </c>
      <c r="E40" t="inlineStr">
        <is>
          <t>этикетка немного другая. в slug черная, а на фото белая</t>
        </is>
      </c>
      <c r="F40" t="inlineStr">
        <is>
          <t>denisov-winery-sovinon-blan-beloe-suhoe-115</t>
        </is>
      </c>
      <c r="G40" t="inlineStr">
        <is>
          <t>dubinin-winery-sovinon-blan-beloe-suhoe-12</t>
        </is>
      </c>
      <c r="H40" t="inlineStr">
        <is>
          <t>imenie-sikory-sovinon-blan-sikory-beloe-suhoe-13</t>
        </is>
      </c>
      <c r="I40" t="inlineStr">
        <is>
          <t>zhemchuzhnaya-9-sovinon-blan-aligote</t>
        </is>
      </c>
      <c r="J40" t="inlineStr">
        <is>
          <t>levokumskoe-sovinon-blan-beloe-suhoe-10</t>
        </is>
      </c>
      <c r="K40">
        <f>IF(C40="","",IFERROR(MATCH(C40,F40:J40,0),"нет"))</f>
        <v/>
      </c>
      <c r="L40">
        <f>IF(C40="","",IF(K40=1,1,0))</f>
        <v/>
      </c>
      <c r="M40">
        <f>IF(C40="","",IF(ISNUMBER(K40),1,0))</f>
        <v/>
      </c>
      <c r="N40" t="inlineStr">
        <is>
          <t>Совиньон Блан — Denisov Winery — Белое сухое</t>
        </is>
      </c>
      <c r="O40" t="inlineStr">
        <is>
          <t>Совиньон Блан — Dubinin Winery — Белое сухое</t>
        </is>
      </c>
      <c r="P40" t="inlineStr">
        <is>
          <t>Совиньон Блан Сикоры — Имение Сикоры — Белое сухое</t>
        </is>
      </c>
      <c r="Q40" t="inlineStr">
        <is>
          <t>Жемчужная 9 Совиньон блан, Алиготе — АРАТТИ — Белое сухое</t>
        </is>
      </c>
      <c r="R40" t="inlineStr">
        <is>
          <t>Совиньон Блан — Левокумское — Белое сухое</t>
        </is>
      </c>
      <c r="S40" s="3" t="n">
        <v>0.9999997615814209</v>
      </c>
      <c r="T40" s="3" t="n">
        <v>8.764246217651817e-08</v>
      </c>
      <c r="U40" t="n">
        <v>675.8</v>
      </c>
    </row>
    <row r="41">
      <c r="A41" t="inlineStr">
        <is>
          <t>94.97_02-09-2026_19-01-48.webp</t>
        </is>
      </c>
      <c r="B41" t="inlineStr">
        <is>
          <t>уверенно</t>
        </is>
      </c>
      <c r="C41" t="inlineStr">
        <is>
          <t>zhemchuzhnaya-9-pino-nuar-muskat-rozovyj-2</t>
        </is>
      </c>
      <c r="D41" t="inlineStr">
        <is>
          <t>Жемчужная 9 Пино нуар, Мускат Розовый — АРАТТИ — Розовое полусладкое</t>
        </is>
      </c>
      <c r="F41" t="inlineStr">
        <is>
          <t>zhemchuzhnaya-9-pino-nuar-muskat-rozovyj-2</t>
        </is>
      </c>
      <c r="G41" t="inlineStr">
        <is>
          <t>zhemchuzhnaya-9-pino-nuar-muskat-rozovyj-1</t>
        </is>
      </c>
      <c r="H41" t="inlineStr">
        <is>
          <t>zhemchuzhnaya-9-pino-nuar-muskat-rozovyj</t>
        </is>
      </c>
      <c r="I41" t="inlineStr">
        <is>
          <t>zhemchuzhnaya-9-muskat-rozovyj-pino-gri</t>
        </is>
      </c>
      <c r="J41" t="inlineStr">
        <is>
          <t>zhemchuzhnaya-9-muskat-rozovyj-kaberne-sovinon</t>
        </is>
      </c>
      <c r="K41">
        <f>IF(C41="","",IFERROR(MATCH(C41,F41:J41,0),"нет"))</f>
        <v/>
      </c>
      <c r="L41">
        <f>IF(C41="","",IF(K41=1,1,0))</f>
        <v/>
      </c>
      <c r="M41">
        <f>IF(C41="","",IF(ISNUMBER(K41),1,0))</f>
        <v/>
      </c>
      <c r="N41" t="inlineStr">
        <is>
          <t>Жемчужная 9 Пино нуар, Мускат Розовый — АРАТТИ — Розовое полусладкое</t>
        </is>
      </c>
      <c r="O41" t="inlineStr">
        <is>
          <t>Жемчужная 9 Пино Нуар, Мускат розовый — АРАТТИ — Розовое полусухое</t>
        </is>
      </c>
      <c r="P41" t="inlineStr">
        <is>
          <t>Жемчужная 9 Пино Нуар, Мускат Розовый — АРАТТИ — Розовое сухое</t>
        </is>
      </c>
      <c r="Q41" t="inlineStr">
        <is>
          <t>Жемчужная 9 Мускат Розовый, Пино гри — АРАТТИ — Розовое сухое</t>
        </is>
      </c>
      <c r="R41" t="inlineStr">
        <is>
          <t>Жемчужная 9 Мускат Розовый, Каберне Совиньон — АРАТТИ — Розовое полусладкое</t>
        </is>
      </c>
      <c r="S41" s="3" t="n">
        <v>0.9999828338623047</v>
      </c>
      <c r="T41" s="3" t="n">
        <v>8.764097714220043e-08</v>
      </c>
      <c r="U41" t="n">
        <v>580.1900000000001</v>
      </c>
    </row>
    <row r="42">
      <c r="A42" t="inlineStr">
        <is>
          <t>95.03_04-09-2026_11-39-35.webp</t>
        </is>
      </c>
      <c r="B42" t="inlineStr">
        <is>
          <t>уверенно</t>
        </is>
      </c>
      <c r="C42" t="inlineStr">
        <is>
          <t>fanagoriya-zelyonoe-vino-risling-tsitronnyy-magaracha-beloe-polusuhoe-11</t>
        </is>
      </c>
      <c r="D42" t="inlineStr">
        <is>
          <t>Зелёное вино. Рислинг - Цитронный Магарача — Фанагория — Белое полусухое</t>
        </is>
      </c>
      <c r="F42" t="inlineStr">
        <is>
          <t>fanagoriya-zelyonoe-vino-risling-tsitronnyy-magaracha-beloe-polusuhoe-11</t>
        </is>
      </c>
      <c r="G42" t="inlineStr">
        <is>
          <t>fanagoriya-zelyonoe-vino-risling-tsitronnyy-magaracha-merlo-rozovoe-polusuhoe-11</t>
        </is>
      </c>
      <c r="H42" t="inlineStr">
        <is>
          <t>levokumskoe-beloe-rkatsiteli-suhoe-10</t>
        </is>
      </c>
      <c r="I42" t="inlineStr">
        <is>
          <t>fanagoriya-beloe-polusladkoe</t>
        </is>
      </c>
      <c r="J42" t="inlineStr">
        <is>
          <t>eleonora</t>
        </is>
      </c>
      <c r="K42">
        <f>IF(C42="","",IFERROR(MATCH(C42,F42:J42,0),"нет"))</f>
        <v/>
      </c>
      <c r="L42">
        <f>IF(C42="","",IF(K42=1,1,0))</f>
        <v/>
      </c>
      <c r="M42">
        <f>IF(C42="","",IF(ISNUMBER(K42),1,0))</f>
        <v/>
      </c>
      <c r="N42" t="inlineStr">
        <is>
          <t>Зелёное вино. Рислинг - Цитронный Магарача — Фанагория — Белое полусухое</t>
        </is>
      </c>
      <c r="O42" t="inlineStr">
        <is>
          <t>Зелёное вино. Рислинг - Цитронный Магарача - Мерло — Фанагория — Розовое полусухое</t>
        </is>
      </c>
      <c r="P42" t="inlineStr">
        <is>
          <t>Белое — Левокумское — Белое сухое</t>
        </is>
      </c>
      <c r="Q42" t="inlineStr">
        <is>
          <t>Фанагория белое полусладкое — Фанагория — Белое полусладкое</t>
        </is>
      </c>
      <c r="R42" t="inlineStr">
        <is>
          <t>Eleonora, 2021 — WINEMAFIA — Белое сухое</t>
        </is>
      </c>
      <c r="S42" s="3" t="n">
        <v>0.9999995231628418</v>
      </c>
      <c r="T42" s="3" t="n">
        <v>1.637376385588141e-07</v>
      </c>
      <c r="U42" t="n">
        <v>814.26</v>
      </c>
    </row>
    <row r="43">
      <c r="A43" t="inlineStr">
        <is>
          <t>95.07_01-09-2026_16-15-35.webp</t>
        </is>
      </c>
      <c r="B43" t="inlineStr">
        <is>
          <t>нет в каталоге</t>
        </is>
      </c>
      <c r="F43" t="inlineStr">
        <is>
          <t>khrustaleva-76-muscat-bryut-beloe</t>
        </is>
      </c>
      <c r="G43" t="inlineStr">
        <is>
          <t>aya-khrustaleva-76-merlot-organik</t>
        </is>
      </c>
      <c r="H43" t="inlineStr">
        <is>
          <t>khrustaleva-76-merlot-polusuhoe-rozovoe</t>
        </is>
      </c>
      <c r="I43" t="inlineStr">
        <is>
          <t>khrustaleva-76-muscat-polusladkoe-beloe</t>
        </is>
      </c>
      <c r="J43" t="inlineStr">
        <is>
          <t>novyy-svet-dom-shampanskih-vin-rossiyskoe-shampanskoe-kollektsionnoe-bryut-beloe-novyy-svet-kyuve-de-prestizh-pino-gri-millezim-rozovoe-125</t>
        </is>
      </c>
      <c r="K43">
        <f>IF(C43="","",IFERROR(MATCH(C43,F43:J43,0),"нет"))</f>
        <v/>
      </c>
      <c r="L43">
        <f>IF(C43="","",IF(K43=1,1,0))</f>
        <v/>
      </c>
      <c r="M43">
        <f>IF(C43="","",IF(ISNUMBER(K43),1,0))</f>
        <v/>
      </c>
      <c r="N43" t="inlineStr">
        <is>
          <t>Khrustaleva 76 muscat, брют, белое — AYA Organic Wine &amp; Vineyards — Белое брют</t>
        </is>
      </c>
      <c r="O43" t="inlineStr">
        <is>
          <t>Aya Khrustaleva 76 merlot Органик — AYA Organic Wine &amp; Vineyards — Розовое полусухое</t>
        </is>
      </c>
      <c r="P43" t="inlineStr">
        <is>
          <t>Khrustaleva 76 merlot, полусухое, розовое — AYA Organic Wine &amp; Vineyards — Розовое полусухое</t>
        </is>
      </c>
      <c r="Q43" t="inlineStr">
        <is>
          <t>Khrustaleva 76 muscat, полусладкое, белое — AYA Organic Wine &amp; Vineyards — Белое полусладкое</t>
        </is>
      </c>
      <c r="R43" t="inlineStr">
        <is>
          <t>Российское шампанское коллекционное брют белое «Новый Свет. Кюве Де Престиж Пино Гри Миллезим» — Новый Свет. Дом шампанских вин — Розовое брют</t>
        </is>
      </c>
      <c r="S43" s="3" t="n">
        <v>0.9994609951972961</v>
      </c>
      <c r="T43" s="3" t="n">
        <v>0.0003799240803346038</v>
      </c>
      <c r="U43" t="n">
        <v>1047.41</v>
      </c>
    </row>
    <row r="44">
      <c r="A44" t="inlineStr">
        <is>
          <t>95.17_29-08-2026_11-06-42.webp</t>
        </is>
      </c>
      <c r="B44" t="inlineStr">
        <is>
          <t>нет в каталоге</t>
        </is>
      </c>
      <c r="F44" t="inlineStr">
        <is>
          <t>golubitskoe-estate-pino-nuar-rezerv-krasnoe-suhoe-132</t>
        </is>
      </c>
      <c r="G44" t="inlineStr">
        <is>
          <t>golubitskoe-estate-winery-series-pino-nuar-rozovoe-suhoe-115</t>
        </is>
      </c>
      <c r="H44" t="inlineStr">
        <is>
          <t>golubitskoe-estate-red-blend-kaberne-sovinon-krasnoe-suhoe-136</t>
        </is>
      </c>
      <c r="I44" t="inlineStr">
        <is>
          <t>golubitskoe-estate-sovinon-blan-beloe-suhoe-11</t>
        </is>
      </c>
      <c r="J44" t="inlineStr">
        <is>
          <t>golubitskoe-estate-shardone-rezerv-beloe-suhoe-135</t>
        </is>
      </c>
      <c r="K44">
        <f>IF(C44="","",IFERROR(MATCH(C44,F44:J44,0),"нет"))</f>
        <v/>
      </c>
      <c r="L44">
        <f>IF(C44="","",IF(K44=1,1,0))</f>
        <v/>
      </c>
      <c r="M44">
        <f>IF(C44="","",IF(ISNUMBER(K44),1,0))</f>
        <v/>
      </c>
      <c r="N44" t="inlineStr">
        <is>
          <t>Пино Нуар Резерв — Golubitskoe Estate — Красное сухое</t>
        </is>
      </c>
      <c r="O44" t="inlineStr">
        <is>
          <t>Winery Series. Пино Нуар — Golubitskoe Estate — Розовое сухое</t>
        </is>
      </c>
      <c r="P44" t="inlineStr">
        <is>
          <t>Red Blend — Golubitskoe Estate — Красное сухое</t>
        </is>
      </c>
      <c r="Q44" t="inlineStr">
        <is>
          <t>Совиньон Блан — Golubitskoe Estate — Белое сухое</t>
        </is>
      </c>
      <c r="R44" t="inlineStr">
        <is>
          <t>Шардоне Резерв — Golubitskoe Estate — Белое сухое</t>
        </is>
      </c>
      <c r="S44" s="3" t="n">
        <v>0.9875153303146362</v>
      </c>
      <c r="T44" s="3" t="n">
        <v>5.354553195502376e-06</v>
      </c>
      <c r="U44" t="n">
        <v>618.5700000000001</v>
      </c>
    </row>
    <row r="45">
      <c r="A45" t="inlineStr">
        <is>
          <t>95.19_05-09-2026_15-32-06.webp</t>
        </is>
      </c>
      <c r="B45" t="inlineStr">
        <is>
          <t>нет в каталоге</t>
        </is>
      </c>
      <c r="F45" t="inlineStr">
        <is>
          <t>fanagoriya-alveus-ultra-cuvee-bryut-rozovoe-merlo-igristoe-bryut-rozovoe-12</t>
        </is>
      </c>
      <c r="G45" t="inlineStr">
        <is>
          <t>fanagoriya-alveus-ultra-cuvee-brut-shardone-beloe-bryut-12</t>
        </is>
      </c>
      <c r="H45" t="inlineStr">
        <is>
          <t>fanagoriya-blanc-de-blancs-shardone-beloe-bryut-12</t>
        </is>
      </c>
      <c r="I45" t="inlineStr">
        <is>
          <t>fanagoriya-alveus-ultra-cuvee-ekstra-bryut-rozovoe-merlo-12</t>
        </is>
      </c>
      <c r="J45" t="inlineStr">
        <is>
          <t>fanagoriya-alveus-ultra-cuvee-ekstra-bryut-beloe-risling-reynskiy-12</t>
        </is>
      </c>
      <c r="K45">
        <f>IF(C45="","",IFERROR(MATCH(C45,F45:J45,0),"нет"))</f>
        <v/>
      </c>
      <c r="L45">
        <f>IF(C45="","",IF(K45=1,1,0))</f>
        <v/>
      </c>
      <c r="M45">
        <f>IF(C45="","",IF(ISNUMBER(K45),1,0))</f>
        <v/>
      </c>
      <c r="N45" t="inlineStr">
        <is>
          <t>Alveus Ultra Cuvee. Брют розовое — Фанагория — Розовое брют</t>
        </is>
      </c>
      <c r="O45" t="inlineStr">
        <is>
          <t>Alveus Ultra Cuvee Brut — Фанагория — Белое брют</t>
        </is>
      </c>
      <c r="P45" t="inlineStr">
        <is>
          <t>Blanc de Blancs — Фанагория — Белое брют</t>
        </is>
      </c>
      <c r="Q45" t="inlineStr">
        <is>
          <t>Alveus Ultra Cuvee. Экстра брют розовое — Фанагория — Розовое экстра брют</t>
        </is>
      </c>
      <c r="R45" t="inlineStr">
        <is>
          <t>Alveus Ultra Cuvee. Экстра брют белое — Фанагория — Белое экстра брют</t>
        </is>
      </c>
      <c r="S45" s="3" t="n">
        <v>0.7021527290344238</v>
      </c>
      <c r="T45" s="3" t="n">
        <v>0.2927007973194122</v>
      </c>
      <c r="U45" t="n">
        <v>1132.83</v>
      </c>
    </row>
    <row r="46">
      <c r="A46" t="inlineStr">
        <is>
          <t>95.24_19-08-2026_20-00-22.webp</t>
        </is>
      </c>
      <c r="B46" t="inlineStr">
        <is>
          <t>уверенно</t>
        </is>
      </c>
      <c r="C46" t="inlineStr">
        <is>
          <t>zhemchuzhnaya-9-czitron-shardone-1</t>
        </is>
      </c>
      <c r="D46" t="inlineStr">
        <is>
          <t>Жемчужная 9 Цитрон, Шардоне — АРАТТИ — Белое полусладкое</t>
        </is>
      </c>
      <c r="F46" t="inlineStr">
        <is>
          <t>zhemchuzhnaya-9-czitron-shardone-1</t>
        </is>
      </c>
      <c r="G46" t="inlineStr">
        <is>
          <t>czitronnyj-magaracha-sovinon-blan</t>
        </is>
      </c>
      <c r="H46" t="inlineStr">
        <is>
          <t>zhemchuzhnaya-9-aligote-czitron</t>
        </is>
      </c>
      <c r="I46" t="inlineStr">
        <is>
          <t>zhemchuzhnaya-9-czitron-shardone</t>
        </is>
      </c>
      <c r="J46" t="inlineStr">
        <is>
          <t>zhemchuzhnaya-9-sovinon-blan-aligote</t>
        </is>
      </c>
      <c r="K46">
        <f>IF(C46="","",IFERROR(MATCH(C46,F46:J46,0),"нет"))</f>
        <v/>
      </c>
      <c r="L46">
        <f>IF(C46="","",IF(K46=1,1,0))</f>
        <v/>
      </c>
      <c r="M46">
        <f>IF(C46="","",IF(ISNUMBER(K46),1,0))</f>
        <v/>
      </c>
      <c r="N46" t="inlineStr">
        <is>
          <t>Жемчужная 9 Цитрон, Шардоне — АРАТТИ — Белое полусладкое</t>
        </is>
      </c>
      <c r="O46" t="inlineStr">
        <is>
          <t>Жемчужная 9 Цитрон, Совиньон блан — АРАТТИ — Белое полусухое</t>
        </is>
      </c>
      <c r="P46" t="inlineStr">
        <is>
          <t>Жемчужная 9 Алиготе, Цитрон — АРАТТИ — Белое сухое</t>
        </is>
      </c>
      <c r="Q46" t="inlineStr">
        <is>
          <t>Жемчужная 9 Цитрон, Шардоне — АРАТТИ — Белое сухое</t>
        </is>
      </c>
      <c r="R46" t="inlineStr">
        <is>
          <t>Жемчужная 9 Совиньон блан, Алиготе — АРАТТИ — Белое сухое</t>
        </is>
      </c>
      <c r="S46" s="3" t="n">
        <v>0.9999998807907104</v>
      </c>
      <c r="T46" s="3" t="n">
        <v>9.931193289958173e-08</v>
      </c>
      <c r="U46" t="n">
        <v>629.3</v>
      </c>
    </row>
    <row r="47">
      <c r="A47" t="inlineStr">
        <is>
          <t>95.29_21-08-2026_17-24-49.webp</t>
        </is>
      </c>
      <c r="B47" t="inlineStr">
        <is>
          <t>нет в каталоге</t>
        </is>
      </c>
      <c r="F47" t="inlineStr">
        <is>
          <t>risling-1</t>
        </is>
      </c>
      <c r="G47" t="inlineStr">
        <is>
          <t>usadba-mezyb-shishka-pino-nuar-rozovoe-suhoe-115</t>
        </is>
      </c>
      <c r="H47" t="inlineStr">
        <is>
          <t>usadba-perovskih-pino-nuar-rezerv-krasnoe-suhoe-122</t>
        </is>
      </c>
      <c r="I47" t="inlineStr">
        <is>
          <t>bakla-vines-pino-nuar-krasnoe-suhoe-125</t>
        </is>
      </c>
      <c r="J47" t="inlineStr">
        <is>
          <t>vaynkraft-pino-nuar-krasnoe-suhoe-13</t>
        </is>
      </c>
      <c r="K47">
        <f>IF(C47="","",IFERROR(MATCH(C47,F47:J47,0),"нет"))</f>
        <v/>
      </c>
      <c r="L47">
        <f>IF(C47="","",IF(K47=1,1,0))</f>
        <v/>
      </c>
      <c r="M47">
        <f>IF(C47="","",IF(ISNUMBER(K47),1,0))</f>
        <v/>
      </c>
      <c r="N47" t="inlineStr">
        <is>
          <t>Рислинг — Табия — Белое полусухое</t>
        </is>
      </c>
      <c r="O47" t="inlineStr">
        <is>
          <t>Шишка. Пино Нуар — Усадьба Мезыбь — Розовое сухое</t>
        </is>
      </c>
      <c r="P47" t="inlineStr">
        <is>
          <t>Пино Нуар Резерв — Усадьба Перовских — Красное сухое</t>
        </is>
      </c>
      <c r="Q47" t="inlineStr">
        <is>
          <t>Пино Нуар — Bakla Vines — Красное сухое</t>
        </is>
      </c>
      <c r="R47" t="inlineStr">
        <is>
          <t>Пино Нуар — ВайнКрафт — Красное сухое</t>
        </is>
      </c>
      <c r="S47" s="3" t="n">
        <v>0.9999774694442749</v>
      </c>
      <c r="T47" s="3" t="n">
        <v>2.260278506582836e-06</v>
      </c>
      <c r="U47" t="n">
        <v>915.34</v>
      </c>
    </row>
    <row r="48">
      <c r="A48" t="inlineStr">
        <is>
          <t>95.2_05-09-2026_13-54-13.webp</t>
        </is>
      </c>
      <c r="B48" t="inlineStr">
        <is>
          <t>уверенно</t>
        </is>
      </c>
      <c r="C48" t="inlineStr">
        <is>
          <t>aratti-kaberne-po-belomu-1</t>
        </is>
      </c>
      <c r="D48" t="inlineStr">
        <is>
          <t>АРАТТИ Каберне по-белому — АРАТТИ — Розовое полусухое</t>
        </is>
      </c>
      <c r="F48" t="inlineStr">
        <is>
          <t>aratti-kaberne-po-belomu-1</t>
        </is>
      </c>
      <c r="G48" t="inlineStr">
        <is>
          <t>aratti-kaberne-po-belomu</t>
        </is>
      </c>
      <c r="H48" t="inlineStr">
        <is>
          <t>aratti-kaberne-sovinon-2021-krasnoe-suhoe</t>
        </is>
      </c>
      <c r="I48" t="inlineStr">
        <is>
          <t>aratti-muskat-belyj-polusuhoe</t>
        </is>
      </c>
      <c r="J48" t="inlineStr">
        <is>
          <t>aratti-muskat-belyj-suhoe</t>
        </is>
      </c>
      <c r="K48">
        <f>IF(C48="","",IFERROR(MATCH(C48,F48:J48,0),"нет"))</f>
        <v/>
      </c>
      <c r="L48">
        <f>IF(C48="","",IF(K48=1,1,0))</f>
        <v/>
      </c>
      <c r="M48">
        <f>IF(C48="","",IF(ISNUMBER(K48),1,0))</f>
        <v/>
      </c>
      <c r="N48" t="inlineStr">
        <is>
          <t>АРАТТИ Каберне по-белому — АРАТТИ — Розовое полусухое</t>
        </is>
      </c>
      <c r="O48" t="inlineStr">
        <is>
          <t>АРАТТИ Каберне по-белому — АРАТТИ — Красное сухое</t>
        </is>
      </c>
      <c r="P48" t="inlineStr">
        <is>
          <t>АРАТТИ Каберне Совиньон 2021 красное сухое — АРАТТИ — Красное сухое</t>
        </is>
      </c>
      <c r="Q48" t="inlineStr">
        <is>
          <t>АРАТТИ Мускат белый полусухое — АРАТТИ — Белое полусухое</t>
        </is>
      </c>
      <c r="R48" t="inlineStr">
        <is>
          <t>АРАТТИ Мускат белый сухое — АРАТТИ — Белое сухое</t>
        </is>
      </c>
      <c r="S48" s="3" t="n">
        <v>0.9999988079071045</v>
      </c>
      <c r="T48" s="3" t="n">
        <v>2.382366801612079e-07</v>
      </c>
      <c r="U48" t="n">
        <v>614.55</v>
      </c>
    </row>
    <row r="49">
      <c r="A49" t="inlineStr">
        <is>
          <t>95.32_02-09-2026_12-09-23.webp</t>
        </is>
      </c>
      <c r="B49" t="inlineStr">
        <is>
          <t>уверенно</t>
        </is>
      </c>
      <c r="C49" t="inlineStr">
        <is>
          <t>sovinon-blan</t>
        </is>
      </c>
      <c r="D49" t="inlineStr">
        <is>
          <t>Совиньон Блан — Литавщук. Litavshchuk vineyards &amp; winery — Белое полусладкое</t>
        </is>
      </c>
      <c r="F49" t="inlineStr">
        <is>
          <t>sovinon-blan</t>
        </is>
      </c>
      <c r="G49" t="inlineStr">
        <is>
          <t>blagolyubov-sovinon-blan-beloe-suhoe-125</t>
        </is>
      </c>
      <c r="H49" t="inlineStr">
        <is>
          <t>dubinin-winery-sovinon-blan-beloe-suhoe-12</t>
        </is>
      </c>
      <c r="I49" t="inlineStr">
        <is>
          <t>vinodelnya-begildeeva-kaberne-sovinon-krasnoe-suhoe-14</t>
        </is>
      </c>
      <c r="J49" t="inlineStr">
        <is>
          <t>vinodelnya-begildeeva-kaberne-sovinon-merlo-krasnoe-suhoe-14</t>
        </is>
      </c>
      <c r="K49">
        <f>IF(C49="","",IFERROR(MATCH(C49,F49:J49,0),"нет"))</f>
        <v/>
      </c>
      <c r="L49">
        <f>IF(C49="","",IF(K49=1,1,0))</f>
        <v/>
      </c>
      <c r="M49">
        <f>IF(C49="","",IF(ISNUMBER(K49),1,0))</f>
        <v/>
      </c>
      <c r="N49" t="inlineStr">
        <is>
          <t>Совиньон Блан — Литавщук. Litavshchuk vineyards &amp; winery — Белое полусладкое</t>
        </is>
      </c>
      <c r="O49" t="inlineStr">
        <is>
          <t>Совиньон Блан — Благолюбов — Белое сухое</t>
        </is>
      </c>
      <c r="P49" t="inlineStr">
        <is>
          <t>Совиньон Блан — Dubinin Winery — Белое сухое</t>
        </is>
      </c>
      <c r="Q49" t="inlineStr">
        <is>
          <t>Каберне Совиньон — Винодельня Бегильдеева — Красное сухое</t>
        </is>
      </c>
      <c r="R49" t="inlineStr">
        <is>
          <t>Каберне Совиньон – Мерло — Винодельня Бегильдеева — Красное сухое</t>
        </is>
      </c>
      <c r="S49" s="3" t="n">
        <v>0.9999997615814209</v>
      </c>
      <c r="T49" s="3" t="n">
        <v>1.855391076333035e-07</v>
      </c>
      <c r="U49" t="n">
        <v>882.64</v>
      </c>
    </row>
    <row r="50">
      <c r="A50" t="inlineStr">
        <is>
          <t>95.35_05-09-2026_15-29-53.webp</t>
        </is>
      </c>
      <c r="B50" t="inlineStr">
        <is>
          <t>нет в каталоге</t>
        </is>
      </c>
      <c r="F50" t="inlineStr">
        <is>
          <t>fanagoriya-alveus-ultra-cuvee-bryut-rozovoe-merlo-igristoe-bryut-rozovoe-12</t>
        </is>
      </c>
      <c r="G50" t="inlineStr">
        <is>
          <t>fanagoriya-blanc-de-blancs-shardone-beloe-bryut-12</t>
        </is>
      </c>
      <c r="H50" t="inlineStr">
        <is>
          <t>fanagoriya-alveus-ultra-cuvee-brut-shardone-beloe-bryut-12</t>
        </is>
      </c>
      <c r="I50" t="inlineStr">
        <is>
          <t>fanagoriya-alveus-ultra-cuvee-ekstra-bryut-rozovoe-merlo-12</t>
        </is>
      </c>
      <c r="J50" t="inlineStr">
        <is>
          <t>fanagoriya-alveus-ultra-cuvee-ekstra-bryut-beloe-risling-reynskiy-12</t>
        </is>
      </c>
      <c r="K50">
        <f>IF(C50="","",IFERROR(MATCH(C50,F50:J50,0),"нет"))</f>
        <v/>
      </c>
      <c r="L50">
        <f>IF(C50="","",IF(K50=1,1,0))</f>
        <v/>
      </c>
      <c r="M50">
        <f>IF(C50="","",IF(ISNUMBER(K50),1,0))</f>
        <v/>
      </c>
      <c r="N50" t="inlineStr">
        <is>
          <t>Alveus Ultra Cuvee. Брют розовое — Фанагория — Розовое брют</t>
        </is>
      </c>
      <c r="O50" t="inlineStr">
        <is>
          <t>Blanc de Blancs — Фанагория — Белое брют</t>
        </is>
      </c>
      <c r="P50" t="inlineStr">
        <is>
          <t>Alveus Ultra Cuvee Brut — Фанагория — Белое брют</t>
        </is>
      </c>
      <c r="Q50" t="inlineStr">
        <is>
          <t>Alveus Ultra Cuvee. Экстра брют розовое — Фанагория — Розовое экстра брют</t>
        </is>
      </c>
      <c r="R50" t="inlineStr">
        <is>
          <t>Alveus Ultra Cuvee. Экстра брют белое — Фанагория — Белое экстра брют</t>
        </is>
      </c>
      <c r="S50" s="3" t="n">
        <v>0.9992210865020752</v>
      </c>
      <c r="T50" s="3" t="n">
        <v>0.0005526535678654909</v>
      </c>
      <c r="U50" t="n">
        <v>1118.21</v>
      </c>
    </row>
    <row r="51">
      <c r="A51" t="inlineStr">
        <is>
          <t>95.36_28-08-2026_17-09-04.webp</t>
        </is>
      </c>
      <c r="B51" t="inlineStr">
        <is>
          <t>нет в каталоге</t>
        </is>
      </c>
      <c r="F51" t="inlineStr">
        <is>
          <t>winemaker-selection</t>
        </is>
      </c>
      <c r="G51" t="inlineStr">
        <is>
          <t>inkermanskiy-zmv-inkerman-bryut-rkatsiteli-beloe-12</t>
        </is>
      </c>
      <c r="H51" t="inlineStr">
        <is>
          <t>inkermanskiy-zmv-inkerman-bryut-shardone-beloe-135</t>
        </is>
      </c>
      <c r="I51" t="inlineStr">
        <is>
          <t>inkerman-shato-ruzh</t>
        </is>
      </c>
      <c r="J51" t="inlineStr">
        <is>
          <t>inkerman-shato-blan</t>
        </is>
      </c>
      <c r="K51">
        <f>IF(C51="","",IFERROR(MATCH(C51,F51:J51,0),"нет"))</f>
        <v/>
      </c>
      <c r="L51">
        <f>IF(C51="","",IF(K51=1,1,0))</f>
        <v/>
      </c>
      <c r="M51">
        <f>IF(C51="","",IF(ISNUMBER(K51),1,0))</f>
        <v/>
      </c>
      <c r="N51" t="inlineStr">
        <is>
          <t>Winemaker selection — Инкерманский ЗМВ — Белое полусухое</t>
        </is>
      </c>
      <c r="O51" t="inlineStr">
        <is>
          <t>Инкерман Брют — Инкерманский ЗМВ — Белое брют</t>
        </is>
      </c>
      <c r="P51" t="inlineStr">
        <is>
          <t>Inkerman брют — Инкерманский ЗМВ — Белое брют</t>
        </is>
      </c>
      <c r="Q51" t="inlineStr">
        <is>
          <t>Inkerman Шато Руж — Инкерманский ЗМВ — Красное полусухое</t>
        </is>
      </c>
      <c r="R51" t="inlineStr">
        <is>
          <t>Инкерман Шато Блан — Инкерманский ЗМВ — Белое полусухое</t>
        </is>
      </c>
      <c r="S51" s="3" t="n">
        <v>0.9999932050704956</v>
      </c>
      <c r="T51" s="3" t="n">
        <v>1.994720150833018e-06</v>
      </c>
      <c r="U51" t="n">
        <v>728.84</v>
      </c>
    </row>
    <row r="52">
      <c r="A52" t="inlineStr">
        <is>
          <t>95.49_05-09-2026_15-34-51.webp</t>
        </is>
      </c>
      <c r="B52" t="inlineStr">
        <is>
          <t>уверенно</t>
        </is>
      </c>
      <c r="C52" t="inlineStr">
        <is>
          <t>zhemchuzhnaya-9-pino-nuar-muskat-rozovyj-2</t>
        </is>
      </c>
      <c r="D52" t="inlineStr">
        <is>
          <t>Жемчужная 9 Пино нуар, Мускат Розовый — АРАТТИ — Розовое полусладкое</t>
        </is>
      </c>
      <c r="F52" t="inlineStr">
        <is>
          <t>zhemchuzhnaya-9-pino-nuar-muskat-rozovyj-2</t>
        </is>
      </c>
      <c r="G52" t="inlineStr">
        <is>
          <t>zhemchuzhnaya-9-pino-nuar-muskat-rozovyj-1</t>
        </is>
      </c>
      <c r="H52" t="inlineStr">
        <is>
          <t>zhemchuzhnaya-9-pino-nuar-muskat-rozovyj</t>
        </is>
      </c>
      <c r="I52" t="inlineStr">
        <is>
          <t>zhemchuzhnaya-9-muskat-rozovyj-pino-gri</t>
        </is>
      </c>
      <c r="J52" t="inlineStr">
        <is>
          <t>zhemchuzhnaya-9-pino-gri-pino-nuar</t>
        </is>
      </c>
      <c r="K52">
        <f>IF(C52="","",IFERROR(MATCH(C52,F52:J52,0),"нет"))</f>
        <v/>
      </c>
      <c r="L52">
        <f>IF(C52="","",IF(K52=1,1,0))</f>
        <v/>
      </c>
      <c r="M52">
        <f>IF(C52="","",IF(ISNUMBER(K52),1,0))</f>
        <v/>
      </c>
      <c r="N52" t="inlineStr">
        <is>
          <t>Жемчужная 9 Пино нуар, Мускат Розовый — АРАТТИ — Розовое полусладкое</t>
        </is>
      </c>
      <c r="O52" t="inlineStr">
        <is>
          <t>Жемчужная 9 Пино Нуар, Мускат розовый — АРАТТИ — Розовое полусухое</t>
        </is>
      </c>
      <c r="P52" t="inlineStr">
        <is>
          <t>Жемчужная 9 Пино Нуар, Мускат Розовый — АРАТТИ — Розовое сухое</t>
        </is>
      </c>
      <c r="Q52" t="inlineStr">
        <is>
          <t>Жемчужная 9 Мускат Розовый, Пино гри — АРАТТИ — Розовое сухое</t>
        </is>
      </c>
      <c r="R52" t="inlineStr">
        <is>
          <t>Жемчужная 9 Пино Гри, Пино Нуар — АРАТТИ — Розовое сухое</t>
        </is>
      </c>
      <c r="S52" s="3" t="n">
        <v>0.9820120334625244</v>
      </c>
      <c r="T52" s="3" t="n">
        <v>1.822016741925836e-07</v>
      </c>
      <c r="U52" t="n">
        <v>621.88</v>
      </c>
    </row>
    <row r="53">
      <c r="A53" t="inlineStr">
        <is>
          <t>95.63_24-08-2026_17-47-43.webp</t>
        </is>
      </c>
      <c r="B53" t="inlineStr">
        <is>
          <t>уверенно</t>
        </is>
      </c>
      <c r="C53" t="inlineStr">
        <is>
          <t>rubin-golodrigi</t>
        </is>
      </c>
      <c r="D53" t="inlineStr">
        <is>
          <t>Рубин Голодриги  — Табия — Красное сухое</t>
        </is>
      </c>
      <c r="F53" t="inlineStr">
        <is>
          <t>rubin-golodrigi</t>
        </is>
      </c>
      <c r="G53" t="inlineStr">
        <is>
          <t>kaberne-sovinon-2</t>
        </is>
      </c>
      <c r="H53" t="inlineStr">
        <is>
          <t>bukovinka</t>
        </is>
      </c>
      <c r="I53" t="inlineStr">
        <is>
          <t>roze-2</t>
        </is>
      </c>
      <c r="J53" t="inlineStr">
        <is>
          <t>rozovoe-zoloto</t>
        </is>
      </c>
      <c r="K53">
        <f>IF(C53="","",IFERROR(MATCH(C53,F53:J53,0),"нет"))</f>
        <v/>
      </c>
      <c r="L53">
        <f>IF(C53="","",IF(K53=1,1,0))</f>
        <v/>
      </c>
      <c r="M53">
        <f>IF(C53="","",IF(ISNUMBER(K53),1,0))</f>
        <v/>
      </c>
      <c r="N53" t="inlineStr">
        <is>
          <t>Рубин Голодриги  — Табия — Красное сухое</t>
        </is>
      </c>
      <c r="O53" t="inlineStr">
        <is>
          <t>Каберне Совиньон — Табия — Красное сухое</t>
        </is>
      </c>
      <c r="P53" t="inlineStr">
        <is>
          <t>Буковинка — Табия — Белое полусухое</t>
        </is>
      </c>
      <c r="Q53" t="inlineStr">
        <is>
          <t>Розе — Табия — Розовое сухое</t>
        </is>
      </c>
      <c r="R53" t="inlineStr">
        <is>
          <t>Розовое золото — Табия — Розовое полусухое</t>
        </is>
      </c>
      <c r="S53" s="3" t="n">
        <v>0.9999998807907104</v>
      </c>
      <c r="T53" s="3" t="n">
        <v>2.845334456935689e-08</v>
      </c>
      <c r="U53" t="n">
        <v>561.89</v>
      </c>
    </row>
    <row r="54">
      <c r="A54" t="inlineStr">
        <is>
          <t>95.75_02-09-2026_14-47-49.webp</t>
        </is>
      </c>
      <c r="B54" t="inlineStr">
        <is>
          <t>уверенно</t>
        </is>
      </c>
      <c r="C54" t="inlineStr">
        <is>
          <t>uva-vallis-risling</t>
        </is>
      </c>
      <c r="D54" t="inlineStr">
        <is>
          <t>Uva Vallis Рислинг — Uva Vallis — Красное сухое</t>
        </is>
      </c>
      <c r="F54" t="inlineStr">
        <is>
          <t>uva-vallis-risling</t>
        </is>
      </c>
      <c r="G54" t="inlineStr">
        <is>
          <t>uva-vallis-shardone</t>
        </is>
      </c>
      <c r="H54" t="inlineStr">
        <is>
          <t>uva-vallis-sovinon-blan</t>
        </is>
      </c>
      <c r="I54" t="inlineStr">
        <is>
          <t>uva-vallis-sira</t>
        </is>
      </c>
      <c r="J54" t="inlineStr">
        <is>
          <t>alma-valley-risling-beloe-polusuhoe-125</t>
        </is>
      </c>
      <c r="K54">
        <f>IF(C54="","",IFERROR(MATCH(C54,F54:J54,0),"нет"))</f>
        <v/>
      </c>
      <c r="L54">
        <f>IF(C54="","",IF(K54=1,1,0))</f>
        <v/>
      </c>
      <c r="M54">
        <f>IF(C54="","",IF(ISNUMBER(K54),1,0))</f>
        <v/>
      </c>
      <c r="N54" t="inlineStr">
        <is>
          <t>Uva Vallis Рислинг — Uva Vallis — Красное сухое</t>
        </is>
      </c>
      <c r="O54" t="inlineStr">
        <is>
          <t>Uva Vallis Шардоне — Uva Vallis — Белое сухое</t>
        </is>
      </c>
      <c r="P54" t="inlineStr">
        <is>
          <t>Uva Vallis Совиньон Блан — Uva Vallis — Белое сухое</t>
        </is>
      </c>
      <c r="Q54" t="inlineStr">
        <is>
          <t>Uva Vallis Сира — Uva Vallis — Красное сухое</t>
        </is>
      </c>
      <c r="R54" t="inlineStr">
        <is>
          <t>Рислинг — Alma Valley — Белое полусухое</t>
        </is>
      </c>
      <c r="S54" s="3" t="n">
        <v>0.9999996423721313</v>
      </c>
      <c r="T54" s="3" t="n">
        <v>2.699577521525498e-07</v>
      </c>
      <c r="U54" t="n">
        <v>541.1799999999999</v>
      </c>
    </row>
    <row r="55">
      <c r="A55" t="inlineStr">
        <is>
          <t>95.76_23-08-2026_18-19-43.webp</t>
        </is>
      </c>
      <c r="B55" t="inlineStr">
        <is>
          <t>уверенно</t>
        </is>
      </c>
      <c r="C55" t="inlineStr">
        <is>
          <t>denisov_barynya_kurmyshi</t>
        </is>
      </c>
      <c r="D55" t="inlineStr">
        <is>
          <t>Барыня. Курмыши — Denisov Winery — Розовое сухое</t>
        </is>
      </c>
      <c r="F55" t="inlineStr">
        <is>
          <t>denisov_barynya_kurmyshi</t>
        </is>
      </c>
      <c r="G55" t="inlineStr">
        <is>
          <t>denisov_pereplyas_kurmyshi</t>
        </is>
      </c>
      <c r="H55" t="inlineStr">
        <is>
          <t>denisov-winery-assamblyazh-rubin-golodrigi-rozovoe-suhoe-12</t>
        </is>
      </c>
      <c r="I55" t="inlineStr">
        <is>
          <t>denisov_pino_noir_klaret</t>
        </is>
      </c>
      <c r="J55" t="inlineStr">
        <is>
          <t>belbek-kokur-kokur-belyy-beloe-suhoe-13</t>
        </is>
      </c>
      <c r="K55">
        <f>IF(C55="","",IFERROR(MATCH(C55,F55:J55,0),"нет"))</f>
        <v/>
      </c>
      <c r="L55">
        <f>IF(C55="","",IF(K55=1,1,0))</f>
        <v/>
      </c>
      <c r="M55">
        <f>IF(C55="","",IF(ISNUMBER(K55),1,0))</f>
        <v/>
      </c>
      <c r="N55" t="inlineStr">
        <is>
          <t>Барыня. Курмыши — Denisov Winery — Розовое сухое</t>
        </is>
      </c>
      <c r="O55" t="inlineStr">
        <is>
          <t>Перепляс. Курмыши — Denisov Winery — Розовое сухое</t>
        </is>
      </c>
      <c r="P55" t="inlineStr">
        <is>
          <t>Ассамбляж — Denisov Winery — Розовое сухое</t>
        </is>
      </c>
      <c r="Q55" t="inlineStr">
        <is>
          <t>Пино Нуар кларет. Красная стрелка — Denisov Winery — Розовое сухое</t>
        </is>
      </c>
      <c r="R55" t="inlineStr">
        <is>
          <t>Кокур — Бельбек — Белое сухое</t>
        </is>
      </c>
      <c r="S55" s="3" t="n">
        <v>0.9999954700469971</v>
      </c>
      <c r="T55" s="3" t="n">
        <v>6.475922873505624e-07</v>
      </c>
      <c r="U55" t="n">
        <v>745.0700000000001</v>
      </c>
    </row>
    <row r="56">
      <c r="A56" t="inlineStr">
        <is>
          <t>95.88_02-09-2026_14-41-59.webp</t>
        </is>
      </c>
      <c r="B56" t="inlineStr">
        <is>
          <t>уверенно</t>
        </is>
      </c>
      <c r="C56" t="inlineStr">
        <is>
          <t>fanagoriya-zelyonoe-vino-risling-tsitronnyy-magaracha-beloe-polusuhoe-11</t>
        </is>
      </c>
      <c r="D56" t="inlineStr">
        <is>
          <t>Зелёное вино. Рислинг - Цитронный Магарача — Фанагория — Белое полусухое</t>
        </is>
      </c>
      <c r="F56" t="inlineStr">
        <is>
          <t>fanagoriya-zelyonoe-vino-risling-tsitronnyy-magaracha-beloe-polusuhoe-11</t>
        </is>
      </c>
      <c r="G56" t="inlineStr">
        <is>
          <t>fanagoriya-zelyonoe-vino-risling-tsitronnyy-magaracha-merlo-rozovoe-polusuhoe-11</t>
        </is>
      </c>
      <c r="H56" t="inlineStr">
        <is>
          <t>rozovoe-polusladkoe</t>
        </is>
      </c>
      <c r="I56" t="inlineStr">
        <is>
          <t>fanagoriya-beloe-polusladkoe</t>
        </is>
      </c>
      <c r="J56" t="inlineStr">
        <is>
          <t>fanagoriya-ice-wine-risling-tihoe-beloe-sladkoe-10</t>
        </is>
      </c>
      <c r="K56">
        <f>IF(C56="","",IFERROR(MATCH(C56,F56:J56,0),"нет"))</f>
        <v/>
      </c>
      <c r="L56">
        <f>IF(C56="","",IF(K56=1,1,0))</f>
        <v/>
      </c>
      <c r="M56">
        <f>IF(C56="","",IF(ISNUMBER(K56),1,0))</f>
        <v/>
      </c>
      <c r="N56" t="inlineStr">
        <is>
          <t>Зелёное вино. Рислинг - Цитронный Магарача — Фанагория — Белое полусухое</t>
        </is>
      </c>
      <c r="O56" t="inlineStr">
        <is>
          <t>Зелёное вино. Рислинг - Цитронный Магарача - Мерло — Фанагория — Розовое полусухое</t>
        </is>
      </c>
      <c r="P56" t="inlineStr">
        <is>
          <t>Розовое полусладкое — Фанагория — Розовое полусладкое</t>
        </is>
      </c>
      <c r="Q56" t="inlineStr">
        <is>
          <t>Фанагория белое полусладкое — Фанагория — Белое полусладкое</t>
        </is>
      </c>
      <c r="R56" t="inlineStr">
        <is>
          <t>Ice Wine Рислинг тихое — Фанагория — Белое сладкое</t>
        </is>
      </c>
      <c r="S56" s="3" t="n">
        <v>0.9999997615814209</v>
      </c>
      <c r="T56" s="3" t="n">
        <v>1.275190300020768e-07</v>
      </c>
      <c r="U56" t="n">
        <v>731.38</v>
      </c>
    </row>
    <row r="57">
      <c r="A57" t="inlineStr">
        <is>
          <t>95.8_19-08-2026_19-33-23.webp</t>
        </is>
      </c>
      <c r="B57" t="inlineStr">
        <is>
          <t>уверенно</t>
        </is>
      </c>
      <c r="C57" t="inlineStr">
        <is>
          <t>roze-2</t>
        </is>
      </c>
      <c r="D57" t="inlineStr">
        <is>
          <t>Розе — Табия — Розовое сухое</t>
        </is>
      </c>
      <c r="F57" t="inlineStr">
        <is>
          <t>roze-2</t>
        </is>
      </c>
      <c r="G57" t="inlineStr">
        <is>
          <t>bukovinka</t>
        </is>
      </c>
      <c r="H57" t="inlineStr">
        <is>
          <t>rozovoe-zoloto</t>
        </is>
      </c>
      <c r="I57" t="inlineStr">
        <is>
          <t>rubin-golodrigi</t>
        </is>
      </c>
      <c r="J57" t="inlineStr">
        <is>
          <t>oleg</t>
        </is>
      </c>
      <c r="K57">
        <f>IF(C57="","",IFERROR(MATCH(C57,F57:J57,0),"нет"))</f>
        <v/>
      </c>
      <c r="L57">
        <f>IF(C57="","",IF(K57=1,1,0))</f>
        <v/>
      </c>
      <c r="M57">
        <f>IF(C57="","",IF(ISNUMBER(K57),1,0))</f>
        <v/>
      </c>
      <c r="N57" t="inlineStr">
        <is>
          <t>Розе — Табия — Розовое сухое</t>
        </is>
      </c>
      <c r="O57" t="inlineStr">
        <is>
          <t>Буковинка — Табия — Белое полусухое</t>
        </is>
      </c>
      <c r="P57" t="inlineStr">
        <is>
          <t>Розовое золото — Табия — Розовое полусухое</t>
        </is>
      </c>
      <c r="Q57" t="inlineStr">
        <is>
          <t>Рубин Голодриги  — Табия — Красное сухое</t>
        </is>
      </c>
      <c r="R57" t="inlineStr">
        <is>
          <t>Олег — Табия — Белое сухое</t>
        </is>
      </c>
      <c r="S57" s="3" t="n">
        <v>0.999998927116394</v>
      </c>
      <c r="T57" s="3" t="n">
        <v>7.338207410612085e-07</v>
      </c>
      <c r="U57" t="n">
        <v>536.35</v>
      </c>
    </row>
    <row r="58">
      <c r="A58" t="inlineStr">
        <is>
          <t>95.8_19-08-2026_20-47-59.webp</t>
        </is>
      </c>
      <c r="B58" t="inlineStr">
        <is>
          <t>не уверен</t>
        </is>
      </c>
      <c r="C58" t="inlineStr">
        <is>
          <t>denisov-winery-sovinon-blan-beloe-suhoe-115</t>
        </is>
      </c>
      <c r="D58" t="inlineStr">
        <is>
          <t>Совиньон Блан — Denisov Winery — Белое сухое</t>
        </is>
      </c>
      <c r="E58" t="inlineStr">
        <is>
          <t>этикетка по цвету другая</t>
        </is>
      </c>
      <c r="F58" t="inlineStr">
        <is>
          <t>denisov-winery-sovinon-blan-beloe-suhoe-115</t>
        </is>
      </c>
      <c r="G58" t="inlineStr">
        <is>
          <t>sovinon-blan-krasnaya-gorka</t>
        </is>
      </c>
      <c r="H58" t="inlineStr">
        <is>
          <t>dubinin-winery-sovinon-blan-beloe-suhoe-12</t>
        </is>
      </c>
      <c r="I58" t="inlineStr">
        <is>
          <t>sovinon-blan</t>
        </is>
      </c>
      <c r="J58" t="inlineStr">
        <is>
          <t>blagolyubov-sovinon-blan-beloe-suhoe-125</t>
        </is>
      </c>
      <c r="K58">
        <f>IF(C58="","",IFERROR(MATCH(C58,F58:J58,0),"нет"))</f>
        <v/>
      </c>
      <c r="L58">
        <f>IF(C58="","",IF(K58=1,1,0))</f>
        <v/>
      </c>
      <c r="M58">
        <f>IF(C58="","",IF(ISNUMBER(K58),1,0))</f>
        <v/>
      </c>
      <c r="N58" t="inlineStr">
        <is>
          <t>Совиньон Блан — Denisov Winery — Белое сухое</t>
        </is>
      </c>
      <c r="O58" t="inlineStr">
        <is>
          <t>Совиньон Блан — Галицкий и Галицкий — Белое сухое</t>
        </is>
      </c>
      <c r="P58" t="inlineStr">
        <is>
          <t>Совиньон Блан — Dubinin Winery — Белое сухое</t>
        </is>
      </c>
      <c r="Q58" t="inlineStr">
        <is>
          <t>Совиньон Блан — Литавщук. Litavshchuk vineyards &amp; winery — Белое полусладкое</t>
        </is>
      </c>
      <c r="R58" t="inlineStr">
        <is>
          <t>Совиньон Блан — Благолюбов — Белое сухое</t>
        </is>
      </c>
      <c r="S58" s="3" t="n">
        <v>0.9999837875366211</v>
      </c>
      <c r="T58" s="3" t="n">
        <v>4.785039891430642e-06</v>
      </c>
      <c r="U58" t="n">
        <v>835.39</v>
      </c>
    </row>
    <row r="59">
      <c r="A59" t="inlineStr">
        <is>
          <t>96.05_28-08-2026_09-14-57.webp</t>
        </is>
      </c>
      <c r="B59" t="inlineStr">
        <is>
          <t>нет в каталоге</t>
        </is>
      </c>
      <c r="F59" t="inlineStr">
        <is>
          <t>usadba-divnomorskoe-solist-marselan-rozovoe-suhoe-115</t>
        </is>
      </c>
      <c r="G59" t="inlineStr">
        <is>
          <t>usadba-divnomorskoe-yuzhnyy-les-merlo-krasnoe-suhoe-137</t>
        </is>
      </c>
      <c r="H59" t="inlineStr">
        <is>
          <t>usadba-divnomorskoe-holodnyy-tuman-risling-beloe-suhoe-115</t>
        </is>
      </c>
      <c r="I59" t="inlineStr">
        <is>
          <t>usadba-divnomorskoe-solnechnyy-veter-shardone-beloe-suhoe-125</t>
        </is>
      </c>
      <c r="J59" t="inlineStr">
        <is>
          <t>vinodelnya-vedernikov-vedernikov-krasnostop-zolotovskiy-magnum-krasnoe-suhoe-145</t>
        </is>
      </c>
      <c r="K59">
        <f>IF(C59="","",IFERROR(MATCH(C59,F59:J59,0),"нет"))</f>
        <v/>
      </c>
      <c r="L59">
        <f>IF(C59="","",IF(K59=1,1,0))</f>
        <v/>
      </c>
      <c r="M59">
        <f>IF(C59="","",IF(ISNUMBER(K59),1,0))</f>
        <v/>
      </c>
      <c r="N59" t="inlineStr">
        <is>
          <t>Солист — Усадьба Дивноморское — Розовое сухое</t>
        </is>
      </c>
      <c r="O59" t="inlineStr">
        <is>
          <t>Южный Лес — Усадьба Дивноморское — Красное сухое</t>
        </is>
      </c>
      <c r="P59" t="inlineStr">
        <is>
          <t>Холодный Туман — Усадьба Дивноморское — Белое сухое</t>
        </is>
      </c>
      <c r="Q59" t="inlineStr">
        <is>
          <t>Солнечный Ветер — Усадьба Дивноморское — Белое сухое</t>
        </is>
      </c>
      <c r="R59" t="inlineStr">
        <is>
          <t>Ведерниковъ Красностоп Золотовский (магнум) — Ведерниковъ — Красное сухое</t>
        </is>
      </c>
      <c r="S59" s="3" t="n">
        <v>0.7255887389183044</v>
      </c>
      <c r="T59" s="3" t="n">
        <v>0.003360142698511481</v>
      </c>
      <c r="U59" t="n">
        <v>1113.81</v>
      </c>
    </row>
    <row r="60">
      <c r="A60" t="inlineStr">
        <is>
          <t>96.07_28-08-2026_16-10-06.webp</t>
        </is>
      </c>
      <c r="B60" t="inlineStr">
        <is>
          <t>уверенно</t>
        </is>
      </c>
      <c r="C60" t="inlineStr">
        <is>
          <t>golubitskoe-estate-kaberne-sovinon-krasnoe-suhoe-137</t>
        </is>
      </c>
      <c r="D60" t="inlineStr">
        <is>
          <t>Каберне Совиньон — Golubitskoe Estate — Красное сухое</t>
        </is>
      </c>
      <c r="F60" t="inlineStr">
        <is>
          <t>golubitskoe-estate-kaberne-sovinon-krasnoe-suhoe-137</t>
        </is>
      </c>
      <c r="G60" t="inlineStr">
        <is>
          <t>golubitskoe-estate-red-blend-kaberne-sovinon-krasnoe-suhoe-136</t>
        </is>
      </c>
      <c r="H60" t="inlineStr">
        <is>
          <t>golubitskoe-estate-kaberne-sovinon-rezerv-krasnoe-suhoe-125</t>
        </is>
      </c>
      <c r="I60" t="inlineStr">
        <is>
          <t>pomeste-golubitskoe-kaberne-sovinon-rezerv-krasnoe-suhoe-143</t>
        </is>
      </c>
      <c r="J60" t="inlineStr">
        <is>
          <t>golubitskoe-estate-sovinon-blan-beloe-suhoe-11</t>
        </is>
      </c>
      <c r="K60">
        <f>IF(C60="","",IFERROR(MATCH(C60,F60:J60,0),"нет"))</f>
        <v/>
      </c>
      <c r="L60">
        <f>IF(C60="","",IF(K60=1,1,0))</f>
        <v/>
      </c>
      <c r="M60">
        <f>IF(C60="","",IF(ISNUMBER(K60),1,0))</f>
        <v/>
      </c>
      <c r="N60" t="inlineStr">
        <is>
          <t>Каберне Совиньон — Golubitskoe Estate — Красное сухое</t>
        </is>
      </c>
      <c r="O60" t="inlineStr">
        <is>
          <t>Red Blend — Golubitskoe Estate — Красное сухое</t>
        </is>
      </c>
      <c r="P60" t="inlineStr">
        <is>
          <t>Каберне Совиньон Резерв — Golubitskoe Estate — Красное сухое</t>
        </is>
      </c>
      <c r="Q60" t="inlineStr">
        <is>
          <t>Каберне Совиньон Резерв — Golubitskoe Estate — Красное сухое</t>
        </is>
      </c>
      <c r="R60" t="inlineStr">
        <is>
          <t>Совиньон Блан — Golubitskoe Estate — Белое сухое</t>
        </is>
      </c>
      <c r="S60" s="3" t="n">
        <v>0.9999966621398926</v>
      </c>
      <c r="T60" s="3" t="n">
        <v>1.760340410328354e-06</v>
      </c>
      <c r="U60" t="n">
        <v>739.38</v>
      </c>
    </row>
    <row r="61">
      <c r="A61" t="inlineStr">
        <is>
          <t>96.08_22-08-2026_15-12-27.webp</t>
        </is>
      </c>
      <c r="B61" t="inlineStr">
        <is>
          <t>уверенно</t>
        </is>
      </c>
      <c r="C61" t="inlineStr">
        <is>
          <t>zhemchuzhnaya-9-czitron-shardone-1</t>
        </is>
      </c>
      <c r="D61" t="inlineStr">
        <is>
          <t>Жемчужная 9 Цитрон, Шардоне — АРАТТИ — Белое полусладкое</t>
        </is>
      </c>
      <c r="F61" t="inlineStr">
        <is>
          <t>zhemchuzhnaya-9-czitron-shardone-1</t>
        </is>
      </c>
      <c r="G61" t="inlineStr">
        <is>
          <t>czitronnyj-magaracha-sovinon-blan</t>
        </is>
      </c>
      <c r="H61" t="inlineStr">
        <is>
          <t>zhemchuzhnaya-9-aligote-czitron</t>
        </is>
      </c>
      <c r="I61" t="inlineStr">
        <is>
          <t>zhemchuzhnaya-9-czitron-shardone</t>
        </is>
      </c>
      <c r="J61" t="inlineStr">
        <is>
          <t>zhemchuzhnaya-9-sovinon-blan-aligote</t>
        </is>
      </c>
      <c r="K61">
        <f>IF(C61="","",IFERROR(MATCH(C61,F61:J61,0),"нет"))</f>
        <v/>
      </c>
      <c r="L61">
        <f>IF(C61="","",IF(K61=1,1,0))</f>
        <v/>
      </c>
      <c r="M61">
        <f>IF(C61="","",IF(ISNUMBER(K61),1,0))</f>
        <v/>
      </c>
      <c r="N61" t="inlineStr">
        <is>
          <t>Жемчужная 9 Цитрон, Шардоне — АРАТТИ — Белое полусладкое</t>
        </is>
      </c>
      <c r="O61" t="inlineStr">
        <is>
          <t>Жемчужная 9 Цитрон, Совиньон блан — АРАТТИ — Белое полусухое</t>
        </is>
      </c>
      <c r="P61" t="inlineStr">
        <is>
          <t>Жемчужная 9 Алиготе, Цитрон — АРАТТИ — Белое сухое</t>
        </is>
      </c>
      <c r="Q61" t="inlineStr">
        <is>
          <t>Жемчужная 9 Цитрон, Шардоне — АРАТТИ — Белое сухое</t>
        </is>
      </c>
      <c r="R61" t="inlineStr">
        <is>
          <t>Жемчужная 9 Совиньон блан, Алиготе — АРАТТИ — Белое сухое</t>
        </is>
      </c>
      <c r="S61" s="3" t="n">
        <v>0.9999978542327881</v>
      </c>
      <c r="T61" s="3" t="n">
        <v>1.275187884175466e-07</v>
      </c>
      <c r="U61" t="n">
        <v>588.13</v>
      </c>
    </row>
    <row r="62">
      <c r="A62" t="inlineStr">
        <is>
          <t>96.08_28-08-2026_16-29-50.webp</t>
        </is>
      </c>
      <c r="B62" t="inlineStr">
        <is>
          <t>уверенно</t>
        </is>
      </c>
      <c r="C62" t="inlineStr">
        <is>
          <t>golubitskoe-estate-merlo-krasnoe-suhoe-135</t>
        </is>
      </c>
      <c r="D62" t="inlineStr">
        <is>
          <t>Мерло — Golubitskoe Estate — Красное сухое</t>
        </is>
      </c>
      <c r="F62" t="inlineStr">
        <is>
          <t>golubitskoe-estate-merlo-krasnoe-suhoe-135</t>
        </is>
      </c>
      <c r="G62" t="inlineStr">
        <is>
          <t>golubitskoe-estate-merlo-rezerv-krasnoe-suhoe-135</t>
        </is>
      </c>
      <c r="H62" t="inlineStr">
        <is>
          <t>golubitskoe-estate-red-blend-kaberne-sovinon-krasnoe-suhoe-136</t>
        </is>
      </c>
      <c r="I62" t="inlineStr">
        <is>
          <t>golubitskoe-estate-pino-nuar-rezerv-krasnoe-suhoe-132</t>
        </is>
      </c>
      <c r="J62" t="inlineStr">
        <is>
          <t>golubitskoe-rose</t>
        </is>
      </c>
      <c r="K62">
        <f>IF(C62="","",IFERROR(MATCH(C62,F62:J62,0),"нет"))</f>
        <v/>
      </c>
      <c r="L62">
        <f>IF(C62="","",IF(K62=1,1,0))</f>
        <v/>
      </c>
      <c r="M62">
        <f>IF(C62="","",IF(ISNUMBER(K62),1,0))</f>
        <v/>
      </c>
      <c r="N62" t="inlineStr">
        <is>
          <t>Мерло — Golubitskoe Estate — Красное сухое</t>
        </is>
      </c>
      <c r="O62" t="inlineStr">
        <is>
          <t>Мерло Резерв — Golubitskoe Estate — Красное сухое</t>
        </is>
      </c>
      <c r="P62" t="inlineStr">
        <is>
          <t>Red Blend — Golubitskoe Estate — Красное сухое</t>
        </is>
      </c>
      <c r="Q62" t="inlineStr">
        <is>
          <t>Пино Нуар Резерв — Golubitskoe Estate — Красное сухое</t>
        </is>
      </c>
      <c r="R62" t="inlineStr">
        <is>
          <t>Golubitskoe Rose — Поместье Голубицкое — Розовое сухое</t>
        </is>
      </c>
      <c r="S62" s="3" t="n">
        <v>0.9999997615814209</v>
      </c>
      <c r="T62" s="3" t="n">
        <v>1.444980028963982e-07</v>
      </c>
      <c r="U62" t="n">
        <v>575.9</v>
      </c>
    </row>
    <row r="63">
      <c r="A63" t="inlineStr">
        <is>
          <t>96.11_22-08-2026_21-29-20.webp</t>
        </is>
      </c>
      <c r="B63" t="inlineStr">
        <is>
          <t>нет в каталоге</t>
        </is>
      </c>
      <c r="F63" t="inlineStr">
        <is>
          <t>abrau-dyurso-imperatorskoe-bryut-shardone-beloe-12</t>
        </is>
      </c>
      <c r="G63" t="inlineStr">
        <is>
          <t>aristov-anima-millesimato-beloe-bryut</t>
        </is>
      </c>
      <c r="H63" t="inlineStr">
        <is>
          <t>abrau-dyurso-udelnoe-vedomstvo-imperatorskoe-beloe-bryut</t>
        </is>
      </c>
      <c r="I63" t="inlineStr">
        <is>
          <t>abrau-dyurso-imperial-brut-vintage-shardone-beloe-bryut-12</t>
        </is>
      </c>
      <c r="J63" t="inlineStr">
        <is>
          <t>aristov-anima-pinot-grigio-blush</t>
        </is>
      </c>
      <c r="K63">
        <f>IF(C63="","",IFERROR(MATCH(C63,F63:J63,0),"нет"))</f>
        <v/>
      </c>
      <c r="L63">
        <f>IF(C63="","",IF(K63=1,1,0))</f>
        <v/>
      </c>
      <c r="M63">
        <f>IF(C63="","",IF(ISNUMBER(K63),1,0))</f>
        <v/>
      </c>
      <c r="N63" t="inlineStr">
        <is>
          <t>Императорское брют — Абрау-Дюрсо — Белое брют</t>
        </is>
      </c>
      <c r="O63" t="inlineStr">
        <is>
          <t>Аристов ANIMA Millesimato белое брют — Кубань-Вино — Белое брют</t>
        </is>
      </c>
      <c r="P63" t="inlineStr">
        <is>
          <t>Абрау Дюрсо Удельное Ведомство Императорское белое брют — Абрау-Дюрсо — Белое брют</t>
        </is>
      </c>
      <c r="Q63" t="inlineStr">
        <is>
          <t>Империал. Brut Vintage — Абрау-Дюрсо — Белое брют</t>
        </is>
      </c>
      <c r="R63" t="inlineStr">
        <is>
          <t>Аристов Anima Pinot Grigio Blush — Кубань-Вино — Розовое брют</t>
        </is>
      </c>
      <c r="S63" s="3" t="n">
        <v>0.9933695197105408</v>
      </c>
      <c r="T63" s="3" t="n">
        <v>0.002790170721709728</v>
      </c>
      <c r="U63" t="n">
        <v>722.63</v>
      </c>
    </row>
    <row r="64">
      <c r="A64" t="inlineStr">
        <is>
          <t>96.13_19-08-2026_19-33-10.webp</t>
        </is>
      </c>
      <c r="B64" t="inlineStr">
        <is>
          <t>уверенно</t>
        </is>
      </c>
      <c r="C64" t="inlineStr">
        <is>
          <t>roze-2</t>
        </is>
      </c>
      <c r="D64" t="inlineStr">
        <is>
          <t>Розе — Табия — Розовое сухое</t>
        </is>
      </c>
      <c r="F64" t="inlineStr">
        <is>
          <t>roze-2</t>
        </is>
      </c>
      <c r="G64" t="inlineStr">
        <is>
          <t>rozovoe-zoloto</t>
        </is>
      </c>
      <c r="H64" t="inlineStr">
        <is>
          <t>oleg</t>
        </is>
      </c>
      <c r="I64" t="inlineStr">
        <is>
          <t>bukovinka</t>
        </is>
      </c>
      <c r="J64" t="inlineStr">
        <is>
          <t>rubin-golodrigi</t>
        </is>
      </c>
      <c r="K64">
        <f>IF(C64="","",IFERROR(MATCH(C64,F64:J64,0),"нет"))</f>
        <v/>
      </c>
      <c r="L64">
        <f>IF(C64="","",IF(K64=1,1,0))</f>
        <v/>
      </c>
      <c r="M64">
        <f>IF(C64="","",IF(ISNUMBER(K64),1,0))</f>
        <v/>
      </c>
      <c r="N64" t="inlineStr">
        <is>
          <t>Розе — Табия — Розовое сухое</t>
        </is>
      </c>
      <c r="O64" t="inlineStr">
        <is>
          <t>Розовое золото — Табия — Розовое полусухое</t>
        </is>
      </c>
      <c r="P64" t="inlineStr">
        <is>
          <t>Олег — Табия — Белое сухое</t>
        </is>
      </c>
      <c r="Q64" t="inlineStr">
        <is>
          <t>Буковинка — Табия — Белое полусухое</t>
        </is>
      </c>
      <c r="R64" t="inlineStr">
        <is>
          <t>Рубин Голодриги  — Табия — Красное сухое</t>
        </is>
      </c>
      <c r="S64" s="3" t="n">
        <v>0.9999986886978149</v>
      </c>
      <c r="T64" s="3" t="n">
        <v>2.382366517394985e-07</v>
      </c>
      <c r="U64" t="n">
        <v>472.02</v>
      </c>
    </row>
    <row r="65">
      <c r="A65" t="inlineStr">
        <is>
          <t>96.15_22-08-2026_20-56-09.webp</t>
        </is>
      </c>
      <c r="B65" t="inlineStr">
        <is>
          <t>уверенно</t>
        </is>
      </c>
      <c r="C65" t="inlineStr">
        <is>
          <t>roze-2</t>
        </is>
      </c>
      <c r="D65" t="inlineStr">
        <is>
          <t>Розе — Табия — Розовое сухое</t>
        </is>
      </c>
      <c r="F65" t="inlineStr">
        <is>
          <t>roze-2</t>
        </is>
      </c>
      <c r="G65" t="inlineStr">
        <is>
          <t>rozovoe-zoloto</t>
        </is>
      </c>
      <c r="H65" t="inlineStr">
        <is>
          <t>bukovinka</t>
        </is>
      </c>
      <c r="I65" t="inlineStr">
        <is>
          <t>rubin-golodrigi</t>
        </is>
      </c>
      <c r="J65" t="inlineStr">
        <is>
          <t>oleg</t>
        </is>
      </c>
      <c r="K65">
        <f>IF(C65="","",IFERROR(MATCH(C65,F65:J65,0),"нет"))</f>
        <v/>
      </c>
      <c r="L65">
        <f>IF(C65="","",IF(K65=1,1,0))</f>
        <v/>
      </c>
      <c r="M65">
        <f>IF(C65="","",IF(ISNUMBER(K65),1,0))</f>
        <v/>
      </c>
      <c r="N65" t="inlineStr">
        <is>
          <t>Розе — Табия — Розовое сухое</t>
        </is>
      </c>
      <c r="O65" t="inlineStr">
        <is>
          <t>Розовое золото — Табия — Розовое полусухое</t>
        </is>
      </c>
      <c r="P65" t="inlineStr">
        <is>
          <t>Буковинка — Табия — Белое полусухое</t>
        </is>
      </c>
      <c r="Q65" t="inlineStr">
        <is>
          <t>Рубин Голодриги  — Табия — Красное сухое</t>
        </is>
      </c>
      <c r="R65" t="inlineStr">
        <is>
          <t>Олег — Табия — Белое сухое</t>
        </is>
      </c>
      <c r="S65" s="3" t="n">
        <v>0.9999955892562866</v>
      </c>
      <c r="T65" s="3" t="n">
        <v>1.067699372470088e-06</v>
      </c>
      <c r="U65" t="n">
        <v>526.55</v>
      </c>
    </row>
    <row r="66">
      <c r="A66" t="inlineStr">
        <is>
          <t>96.27_20-08-2026_16-26-30.webp</t>
        </is>
      </c>
      <c r="B66" t="inlineStr">
        <is>
          <t>уверенно</t>
        </is>
      </c>
      <c r="C66" t="inlineStr">
        <is>
          <t>zhemchuzhnaya-9-pino-nuar-muskat-rozovyj-1</t>
        </is>
      </c>
      <c r="D66" t="inlineStr">
        <is>
          <t>Жемчужная 9 Пино Нуар, Мускат розовый — АРАТТИ — Розовое полусухое</t>
        </is>
      </c>
      <c r="F66" t="inlineStr">
        <is>
          <t>zhemchuzhnaya-9-pino-nuar-muskat-rozovyj-1</t>
        </is>
      </c>
      <c r="G66" t="inlineStr">
        <is>
          <t>zhemchuzhnaya-9-pino-nuar-muskat-rozovyj</t>
        </is>
      </c>
      <c r="H66" t="inlineStr">
        <is>
          <t>zhemchuzhnaya-9-pino-nuar-muskat-rozovyj-2</t>
        </is>
      </c>
      <c r="I66" t="inlineStr">
        <is>
          <t>zhemchuzhnaya-9-muskat-rozovyj-pino-gri</t>
        </is>
      </c>
      <c r="J66" t="inlineStr">
        <is>
          <t>zhemchuzhnaya-9-muskat-rozovyj-kaberne-sovinon</t>
        </is>
      </c>
      <c r="K66">
        <f>IF(C66="","",IFERROR(MATCH(C66,F66:J66,0),"нет"))</f>
        <v/>
      </c>
      <c r="L66">
        <f>IF(C66="","",IF(K66=1,1,0))</f>
        <v/>
      </c>
      <c r="M66">
        <f>IF(C66="","",IF(ISNUMBER(K66),1,0))</f>
        <v/>
      </c>
      <c r="N66" t="inlineStr">
        <is>
          <t>Жемчужная 9 Пино Нуар, Мускат розовый — АРАТТИ — Розовое полусухое</t>
        </is>
      </c>
      <c r="O66" t="inlineStr">
        <is>
          <t>Жемчужная 9 Пино Нуар, Мускат Розовый — АРАТТИ — Розовое сухое</t>
        </is>
      </c>
      <c r="P66" t="inlineStr">
        <is>
          <t>Жемчужная 9 Пино нуар, Мускат Розовый — АРАТТИ — Розовое полусладкое</t>
        </is>
      </c>
      <c r="Q66" t="inlineStr">
        <is>
          <t>Жемчужная 9 Мускат Розовый, Пино гри — АРАТТИ — Розовое сухое</t>
        </is>
      </c>
      <c r="R66" t="inlineStr">
        <is>
          <t>Жемчужная 9 Мускат Розовый, Каберне Совиньон — АРАТТИ — Розовое полусладкое</t>
        </is>
      </c>
      <c r="S66" s="3" t="n">
        <v>0.9999996423721313</v>
      </c>
      <c r="T66" s="3" t="n">
        <v>5.315783724313405e-08</v>
      </c>
      <c r="U66" t="n">
        <v>596.47</v>
      </c>
    </row>
    <row r="67">
      <c r="A67" t="inlineStr">
        <is>
          <t>96.29_21-08-2026_19-39-02.webp</t>
        </is>
      </c>
      <c r="B67" t="inlineStr">
        <is>
          <t>не уверен</t>
        </is>
      </c>
      <c r="C67" t="inlineStr">
        <is>
          <t>denisov-winery-sovinon-blan-beloe-suhoe-115</t>
        </is>
      </c>
      <c r="D67" t="inlineStr">
        <is>
          <t>Совиньон Блан — Denisov Winery — Белое сухое</t>
        </is>
      </c>
      <c r="E67" t="inlineStr">
        <is>
          <t>этикетка немного другая. в slug черная, а на фото белая</t>
        </is>
      </c>
      <c r="F67" t="inlineStr">
        <is>
          <t>denisov-winery-sovinon-blan-beloe-suhoe-115</t>
        </is>
      </c>
      <c r="G67" t="inlineStr">
        <is>
          <t>dubinin-winery-sovinon-blan-beloe-suhoe-12</t>
        </is>
      </c>
      <c r="H67" t="inlineStr">
        <is>
          <t>zhemchuzhnaya-9-sovinon-blan-aligote</t>
        </is>
      </c>
      <c r="I67" t="inlineStr">
        <is>
          <t>blagolyubov-sovinon-blan-beloe-suhoe-125</t>
        </is>
      </c>
      <c r="J67" t="inlineStr">
        <is>
          <t>vinodelnya-myshako-sovinon-blan-avtorskaya-tehnologiya-mono-beloe-suhoe-128</t>
        </is>
      </c>
      <c r="K67">
        <f>IF(C67="","",IFERROR(MATCH(C67,F67:J67,0),"нет"))</f>
        <v/>
      </c>
      <c r="L67">
        <f>IF(C67="","",IF(K67=1,1,0))</f>
        <v/>
      </c>
      <c r="M67">
        <f>IF(C67="","",IF(ISNUMBER(K67),1,0))</f>
        <v/>
      </c>
      <c r="N67" t="inlineStr">
        <is>
          <t>Совиньон Блан — Denisov Winery — Белое сухое</t>
        </is>
      </c>
      <c r="O67" t="inlineStr">
        <is>
          <t>Совиньон Блан — Dubinin Winery — Белое сухое</t>
        </is>
      </c>
      <c r="P67" t="inlineStr">
        <is>
          <t>Жемчужная 9 Совиньон блан, Алиготе — АРАТТИ — Белое сухое</t>
        </is>
      </c>
      <c r="Q67" t="inlineStr">
        <is>
          <t>Совиньон Блан — Благолюбов — Белое сухое</t>
        </is>
      </c>
      <c r="R67" t="inlineStr">
        <is>
          <t>Совиньон Блан. Авторская технология. Моно — Мысхако — Белое сухое</t>
        </is>
      </c>
      <c r="S67" s="3" t="n">
        <v>0.9999998807907104</v>
      </c>
      <c r="T67" s="3" t="n">
        <v>9.931193289958173e-08</v>
      </c>
      <c r="U67" t="n">
        <v>658.46</v>
      </c>
    </row>
    <row r="68">
      <c r="A68" t="inlineStr">
        <is>
          <t>96.2_28-08-2026_09-13-27.webp</t>
        </is>
      </c>
      <c r="B68" t="inlineStr">
        <is>
          <t>нет в каталоге</t>
        </is>
      </c>
      <c r="F68" t="inlineStr">
        <is>
          <t>usadba-divnomorskoe-yuzhnyy-les-merlo-krasnoe-suhoe-137</t>
        </is>
      </c>
      <c r="G68" t="inlineStr">
        <is>
          <t>usadba-divnomorskoe-holodnyy-tuman-risling-beloe-suhoe-115</t>
        </is>
      </c>
      <c r="H68" t="inlineStr">
        <is>
          <t>usadba-divnomorskoe-solist-marselan-rozovoe-suhoe-115</t>
        </is>
      </c>
      <c r="I68" t="inlineStr">
        <is>
          <t>usadba-divnomorskoe-solnechnyy-veter-shardone-beloe-suhoe-125</t>
        </is>
      </c>
      <c r="J68" t="inlineStr">
        <is>
          <t>vinodelnya-vedernikov-vedernikov-tsimlyanskiy-chyornyy-tsimlyanskiy-chernyy-krasnoe-suhoe-14</t>
        </is>
      </c>
      <c r="K68">
        <f>IF(C68="","",IFERROR(MATCH(C68,F68:J68,0),"нет"))</f>
        <v/>
      </c>
      <c r="L68">
        <f>IF(C68="","",IF(K68=1,1,0))</f>
        <v/>
      </c>
      <c r="M68">
        <f>IF(C68="","",IF(ISNUMBER(K68),1,0))</f>
        <v/>
      </c>
      <c r="N68" t="inlineStr">
        <is>
          <t>Южный Лес — Усадьба Дивноморское — Красное сухое</t>
        </is>
      </c>
      <c r="O68" t="inlineStr">
        <is>
          <t>Холодный Туман — Усадьба Дивноморское — Белое сухое</t>
        </is>
      </c>
      <c r="P68" t="inlineStr">
        <is>
          <t>Солист — Усадьба Дивноморское — Розовое сухое</t>
        </is>
      </c>
      <c r="Q68" t="inlineStr">
        <is>
          <t>Солнечный Ветер — Усадьба Дивноморское — Белое сухое</t>
        </is>
      </c>
      <c r="R68" t="inlineStr">
        <is>
          <t>Ведерниковъ Цимлянский Чёрный — Ведерниковъ — Красное сухое</t>
        </is>
      </c>
      <c r="S68" s="3" t="n">
        <v>0.999775230884552</v>
      </c>
      <c r="T68" s="3" t="n">
        <v>0.000108884290966671</v>
      </c>
      <c r="U68" t="n">
        <v>1078.99</v>
      </c>
    </row>
    <row r="69">
      <c r="A69" t="inlineStr">
        <is>
          <t>96.2_28-08-2026_19-25-29.webp</t>
        </is>
      </c>
      <c r="B69" t="inlineStr">
        <is>
          <t>нет в каталоге</t>
        </is>
      </c>
      <c r="F69" t="inlineStr">
        <is>
          <t>derbent-vino-graf-vorontsov-bryut-beloe-sovinon-blan-105-125</t>
        </is>
      </c>
      <c r="G69" t="inlineStr">
        <is>
          <t>derbent-vino-graf-vorontsov-beloe-polusladkoe-sovinon-blan-105-125</t>
        </is>
      </c>
      <c r="H69" t="inlineStr">
        <is>
          <t>novyy-svet-dom-shampanskih-vin-rossiyskoe-shampanskoe-kollektsionnoe-bryut-beloe-novyy-svet-yubileynoe-risling-13</t>
        </is>
      </c>
      <c r="I69" t="inlineStr">
        <is>
          <t>novyy-svet-dom-shampanskih-vin-rossiyskoe-shampanskoe-kollektsionnoe-bryut-beloe-novyy-svet-zolotoy-risling-suhoe-13</t>
        </is>
      </c>
      <c r="J69" t="inlineStr">
        <is>
          <t>derbent-vino-graf-vorontsov-bryut-rozovoe-pervenets-magaracha-105-125</t>
        </is>
      </c>
      <c r="K69">
        <f>IF(C69="","",IFERROR(MATCH(C69,F69:J69,0),"нет"))</f>
        <v/>
      </c>
      <c r="L69">
        <f>IF(C69="","",IF(K69=1,1,0))</f>
        <v/>
      </c>
      <c r="M69">
        <f>IF(C69="","",IF(ISNUMBER(K69),1,0))</f>
        <v/>
      </c>
      <c r="N69" t="inlineStr">
        <is>
          <t>Граф Воронцов. Брют белое — Дербент Вино — Белое брют</t>
        </is>
      </c>
      <c r="O69" t="inlineStr">
        <is>
          <t>Граф Воронцов. Белое полусладкое — Дербент Вино — Белое полусладкое</t>
        </is>
      </c>
      <c r="P69" t="inlineStr">
        <is>
          <t>Российское шампанское коллекционное брют белое «Новый Свет. Юбилейное» — Новый Свет. Дом шампанских вин — Белое брют</t>
        </is>
      </c>
      <c r="Q69" t="inlineStr">
        <is>
          <t>Российское шампанское коллекционное брют белое «Новый Свет. Золотой Рислинг» — Новый Свет. Дом шампанских вин — Белое сухое</t>
        </is>
      </c>
      <c r="R69" t="inlineStr">
        <is>
          <t>Граф Воронцов. Брют розовое — Дербент Вино — Розовое брют</t>
        </is>
      </c>
      <c r="S69" s="3" t="n">
        <v>0.2652928531169891</v>
      </c>
      <c r="T69" s="3" t="n">
        <v>0.6364045143127441</v>
      </c>
      <c r="U69" t="n">
        <v>1240.64</v>
      </c>
    </row>
    <row r="70">
      <c r="A70" t="inlineStr">
        <is>
          <t>96.31_09-09-2026_19-29-01.webp</t>
        </is>
      </c>
      <c r="B70" t="inlineStr">
        <is>
          <t>уверенно</t>
        </is>
      </c>
      <c r="C70" t="inlineStr">
        <is>
          <t>aratti-kaberne-po-belomu</t>
        </is>
      </c>
      <c r="D70" t="inlineStr">
        <is>
          <t>АРАТТИ Каберне по-белому — АРАТТИ — Красное сухое</t>
        </is>
      </c>
      <c r="F70" t="inlineStr">
        <is>
          <t>aratti-kaberne-po-belomu-1</t>
        </is>
      </c>
      <c r="G70" t="inlineStr">
        <is>
          <t>aratti-kaberne-po-belomu</t>
        </is>
      </c>
      <c r="H70" t="inlineStr">
        <is>
          <t>aratti-vremena-goda-saperavi-leto</t>
        </is>
      </c>
      <c r="I70" t="inlineStr">
        <is>
          <t>aratti-kaberne-sovinon-2021-krasnoe-suhoe</t>
        </is>
      </c>
      <c r="J70" t="inlineStr">
        <is>
          <t>aratti-shardone-beloe-suhoe</t>
        </is>
      </c>
      <c r="K70">
        <f>IF(C70="","",IFERROR(MATCH(C70,F70:J70,0),"нет"))</f>
        <v/>
      </c>
      <c r="L70">
        <f>IF(C70="","",IF(K70=1,1,0))</f>
        <v/>
      </c>
      <c r="M70">
        <f>IF(C70="","",IF(ISNUMBER(K70),1,0))</f>
        <v/>
      </c>
      <c r="N70" t="inlineStr">
        <is>
          <t>АРАТТИ Каберне по-белому — АРАТТИ — Розовое полусухое</t>
        </is>
      </c>
      <c r="O70" t="inlineStr">
        <is>
          <t>АРАТТИ Каберне по-белому — АРАТТИ — Красное сухое</t>
        </is>
      </c>
      <c r="P70" t="inlineStr">
        <is>
          <t>АРАТТИ Времена Года Саперави Лето — АРАТТИ — Красное сухое</t>
        </is>
      </c>
      <c r="Q70" t="inlineStr">
        <is>
          <t>АРАТТИ Каберне Совиньон 2021 красное сухое — АРАТТИ — Красное сухое</t>
        </is>
      </c>
      <c r="R70" t="inlineStr">
        <is>
          <t>АРАТТИ Шардоне белое сухое — АРАТТИ — Белое сухое</t>
        </is>
      </c>
      <c r="S70" s="3" t="n">
        <v>0.9999973773956299</v>
      </c>
      <c r="T70" s="3" t="n">
        <v>3.466318503342336e-07</v>
      </c>
      <c r="U70" t="n">
        <v>618.48</v>
      </c>
    </row>
    <row r="71">
      <c r="A71" t="inlineStr">
        <is>
          <t>96.31_21-08-2026_17-24-55.webp</t>
        </is>
      </c>
      <c r="B71" t="inlineStr">
        <is>
          <t>уверенно</t>
        </is>
      </c>
      <c r="C71" t="inlineStr">
        <is>
          <t>bukovinka</t>
        </is>
      </c>
      <c r="D71" t="inlineStr">
        <is>
          <t>Буковинка — Табия — Белое полусухое</t>
        </is>
      </c>
      <c r="F71" t="inlineStr">
        <is>
          <t>bukovinka</t>
        </is>
      </c>
      <c r="G71" t="inlineStr">
        <is>
          <t>rubin-golodrigi</t>
        </is>
      </c>
      <c r="H71" t="inlineStr">
        <is>
          <t>oleg</t>
        </is>
      </c>
      <c r="I71" t="inlineStr">
        <is>
          <t>kaberne-sovinon-2</t>
        </is>
      </c>
      <c r="J71" t="inlineStr">
        <is>
          <t>rozovoe-zoloto</t>
        </is>
      </c>
      <c r="K71">
        <f>IF(C71="","",IFERROR(MATCH(C71,F71:J71,0),"нет"))</f>
        <v/>
      </c>
      <c r="L71">
        <f>IF(C71="","",IF(K71=1,1,0))</f>
        <v/>
      </c>
      <c r="M71">
        <f>IF(C71="","",IF(ISNUMBER(K71),1,0))</f>
        <v/>
      </c>
      <c r="N71" t="inlineStr">
        <is>
          <t>Буковинка — Табия — Белое полусухое</t>
        </is>
      </c>
      <c r="O71" t="inlineStr">
        <is>
          <t>Рубин Голодриги  — Табия — Красное сухое</t>
        </is>
      </c>
      <c r="P71" t="inlineStr">
        <is>
          <t>Олег — Табия — Белое сухое</t>
        </is>
      </c>
      <c r="Q71" t="inlineStr">
        <is>
          <t>Каберне Совиньон — Табия — Красное сухое</t>
        </is>
      </c>
      <c r="R71" t="inlineStr">
        <is>
          <t>Розовое золото — Табия — Розовое полусухое</t>
        </is>
      </c>
      <c r="S71" s="3" t="n">
        <v>0.9999997615814209</v>
      </c>
      <c r="T71" s="3" t="n">
        <v>1.444980028963982e-07</v>
      </c>
      <c r="U71" t="n">
        <v>508.15</v>
      </c>
    </row>
    <row r="72">
      <c r="A72" t="inlineStr">
        <is>
          <t>96.3_08-09-2026_10-53-14.webp</t>
        </is>
      </c>
      <c r="B72" t="inlineStr">
        <is>
          <t>нет в каталоге</t>
        </is>
      </c>
      <c r="F72" t="inlineStr">
        <is>
          <t>fanagoriya-zelyonoe-vino-risling-tsitronnyy-magaracha-beloe-polusuhoe-11</t>
        </is>
      </c>
      <c r="G72" t="inlineStr">
        <is>
          <t>fanagoriya-beloe-polusladkoe</t>
        </is>
      </c>
      <c r="H72" t="inlineStr">
        <is>
          <t>fanagoriya-zelyonoe-vino-risling-tsitronnyy-magaracha-merlo-rozovoe-polusuhoe-11</t>
        </is>
      </c>
      <c r="I72" t="inlineStr">
        <is>
          <t>rozovoe-polusladkoe</t>
        </is>
      </c>
      <c r="J72" t="inlineStr">
        <is>
          <t>vinodelnya-pokrovskaya-risling-pokrovskoe-risling-reynskiy-beloe-suhoe-13</t>
        </is>
      </c>
      <c r="K72">
        <f>IF(C72="","",IFERROR(MATCH(C72,F72:J72,0),"нет"))</f>
        <v/>
      </c>
      <c r="L72">
        <f>IF(C72="","",IF(K72=1,1,0))</f>
        <v/>
      </c>
      <c r="M72">
        <f>IF(C72="","",IF(ISNUMBER(K72),1,0))</f>
        <v/>
      </c>
      <c r="N72" t="inlineStr">
        <is>
          <t>Зелёное вино. Рислинг - Цитронный Магарача — Фанагория — Белое полусухое</t>
        </is>
      </c>
      <c r="O72" t="inlineStr">
        <is>
          <t>Фанагория белое полусладкое — Фанагория — Белое полусладкое</t>
        </is>
      </c>
      <c r="P72" t="inlineStr">
        <is>
          <t>Зелёное вино. Рислинг - Цитронный Магарача - Мерло — Фанагория — Розовое полусухое</t>
        </is>
      </c>
      <c r="Q72" t="inlineStr">
        <is>
          <t>Розовое полусладкое — Фанагория — Розовое полусладкое</t>
        </is>
      </c>
      <c r="R72" t="inlineStr">
        <is>
          <t>Рислинг. Покровское — Винодельня Покровская — Белое сухое</t>
        </is>
      </c>
      <c r="S72" s="3" t="n">
        <v>0.9965035915374756</v>
      </c>
      <c r="T72" s="3" t="n">
        <v>2.421586577838752e-05</v>
      </c>
      <c r="U72" t="n">
        <v>730.62</v>
      </c>
    </row>
    <row r="73">
      <c r="A73" t="inlineStr">
        <is>
          <t>96.3_28-08-2026_09-12-56.webp</t>
        </is>
      </c>
      <c r="B73" t="inlineStr">
        <is>
          <t>нет в каталоге</t>
        </is>
      </c>
      <c r="F73" t="inlineStr">
        <is>
          <t>usadba-divnomorskoe-yuzhnyy-les-merlo-krasnoe-suhoe-137</t>
        </is>
      </c>
      <c r="G73" t="inlineStr">
        <is>
          <t>usadba-divnomorskoe-solist-marselan-rozovoe-suhoe-115</t>
        </is>
      </c>
      <c r="H73" t="inlineStr">
        <is>
          <t>usadba-divnomorskoe-holodnyy-tuman-risling-beloe-suhoe-115</t>
        </is>
      </c>
      <c r="I73" t="inlineStr">
        <is>
          <t>usadba-divnomorskoe-solnechnyy-veter-shardone-beloe-suhoe-125</t>
        </is>
      </c>
      <c r="J73" t="inlineStr">
        <is>
          <t>vinodelnya-vedernikov-vedernikov-krasnostop-zolotovskiy-magnum-krasnoe-suhoe-145</t>
        </is>
      </c>
      <c r="K73">
        <f>IF(C73="","",IFERROR(MATCH(C73,F73:J73,0),"нет"))</f>
        <v/>
      </c>
      <c r="L73">
        <f>IF(C73="","",IF(K73=1,1,0))</f>
        <v/>
      </c>
      <c r="M73">
        <f>IF(C73="","",IF(ISNUMBER(K73),1,0))</f>
        <v/>
      </c>
      <c r="N73" t="inlineStr">
        <is>
          <t>Южный Лес — Усадьба Дивноморское — Красное сухое</t>
        </is>
      </c>
      <c r="O73" t="inlineStr">
        <is>
          <t>Солист — Усадьба Дивноморское — Розовое сухое</t>
        </is>
      </c>
      <c r="P73" t="inlineStr">
        <is>
          <t>Холодный Туман — Усадьба Дивноморское — Белое сухое</t>
        </is>
      </c>
      <c r="Q73" t="inlineStr">
        <is>
          <t>Солнечный Ветер — Усадьба Дивноморское — Белое сухое</t>
        </is>
      </c>
      <c r="R73" t="inlineStr">
        <is>
          <t>Ведерниковъ Красностоп Золотовский (магнум) — Ведерниковъ — Красное сухое</t>
        </is>
      </c>
      <c r="S73" s="3" t="n">
        <v>0.9999290704727173</v>
      </c>
      <c r="T73" s="3" t="n">
        <v>5.14412131451536e-05</v>
      </c>
      <c r="U73" t="n">
        <v>1071.77</v>
      </c>
    </row>
    <row r="74">
      <c r="A74" t="inlineStr">
        <is>
          <t>96.42_22-08-2026_21-29-43.webp</t>
        </is>
      </c>
      <c r="B74" t="inlineStr">
        <is>
          <t>нет в каталоге</t>
        </is>
      </c>
      <c r="F74" t="inlineStr">
        <is>
          <t>abrau-dyurso-udelnoe-vedomstvo-imperatorskoe-beloe-bryut</t>
        </is>
      </c>
      <c r="G74" t="inlineStr">
        <is>
          <t>abrau-dyurso-imperatorskoe-bryut-shardone-beloe-12</t>
        </is>
      </c>
      <c r="H74" t="inlineStr">
        <is>
          <t>abrau-dyurso-imperial-brut-lart-nouveau-shardone-beloe-bryut-105</t>
        </is>
      </c>
      <c r="I74" t="inlineStr">
        <is>
          <t>abrau-dyurso-imperial-kyuve-pino-nuar-rozovoe-bryut-125</t>
        </is>
      </c>
      <c r="J74" t="inlineStr">
        <is>
          <t>abrau-dyurso-imperial-brut-vintage-shardone-beloe-bryut-12</t>
        </is>
      </c>
      <c r="K74">
        <f>IF(C74="","",IFERROR(MATCH(C74,F74:J74,0),"нет"))</f>
        <v/>
      </c>
      <c r="L74">
        <f>IF(C74="","",IF(K74=1,1,0))</f>
        <v/>
      </c>
      <c r="M74">
        <f>IF(C74="","",IF(ISNUMBER(K74),1,0))</f>
        <v/>
      </c>
      <c r="N74" t="inlineStr">
        <is>
          <t>Абрау Дюрсо Удельное Ведомство Императорское белое брют — Абрау-Дюрсо — Белое брют</t>
        </is>
      </c>
      <c r="O74" t="inlineStr">
        <is>
          <t>Императорское брют — Абрау-Дюрсо — Белое брют</t>
        </is>
      </c>
      <c r="P74" t="inlineStr">
        <is>
          <t>Империал Brut L'Art Nouveau — Абрау-Дюрсо — Белое брют</t>
        </is>
      </c>
      <c r="Q74" t="inlineStr">
        <is>
          <t>Империал Кюве — Абрау-Дюрсо — Розовое брют</t>
        </is>
      </c>
      <c r="R74" t="inlineStr">
        <is>
          <t>Империал. Brut Vintage — Абрау-Дюрсо — Белое брют</t>
        </is>
      </c>
      <c r="S74" s="3" t="n">
        <v>7.889252628956456e-06</v>
      </c>
      <c r="T74" s="3" t="n">
        <v>0.9999909400939941</v>
      </c>
      <c r="U74" t="n">
        <v>808.1900000000001</v>
      </c>
    </row>
    <row r="75">
      <c r="A75" t="inlineStr">
        <is>
          <t>96.44_05-09-2026_15-33-59.webp</t>
        </is>
      </c>
      <c r="B75" t="inlineStr">
        <is>
          <t>уверенно</t>
        </is>
      </c>
      <c r="C75" t="inlineStr">
        <is>
          <t>sovinon-blan</t>
        </is>
      </c>
      <c r="D75" t="inlineStr">
        <is>
          <t>Совиньон Блан — Литавщук. Litavshchuk vineyards &amp; winery — Белое полусладкое</t>
        </is>
      </c>
      <c r="F75" t="inlineStr">
        <is>
          <t>sovinon-blan</t>
        </is>
      </c>
      <c r="G75" t="inlineStr">
        <is>
          <t>blagolyubov-sovinon-blan-beloe-suhoe-125</t>
        </is>
      </c>
      <c r="H75" t="inlineStr">
        <is>
          <t>sovinon-blan-krasnaya-gorka</t>
        </is>
      </c>
      <c r="I75" t="inlineStr">
        <is>
          <t>dubinin-winery-sovinon-blan-beloe-suhoe-12</t>
        </is>
      </c>
      <c r="J75" t="inlineStr">
        <is>
          <t>orlov_sauvignon_blan</t>
        </is>
      </c>
      <c r="K75">
        <f>IF(C75="","",IFERROR(MATCH(C75,F75:J75,0),"нет"))</f>
        <v/>
      </c>
      <c r="L75">
        <f>IF(C75="","",IF(K75=1,1,0))</f>
        <v/>
      </c>
      <c r="M75">
        <f>IF(C75="","",IF(ISNUMBER(K75),1,0))</f>
        <v/>
      </c>
      <c r="N75" t="inlineStr">
        <is>
          <t>Совиньон Блан — Литавщук. Litavshchuk vineyards &amp; winery — Белое полусладкое</t>
        </is>
      </c>
      <c r="O75" t="inlineStr">
        <is>
          <t>Совиньон Блан — Благолюбов — Белое сухое</t>
        </is>
      </c>
      <c r="P75" t="inlineStr">
        <is>
          <t>Совиньон Блан — Галицкий и Галицкий — Белое сухое</t>
        </is>
      </c>
      <c r="Q75" t="inlineStr">
        <is>
          <t>Совиньон Блан — Dubinin Winery — Белое сухое</t>
        </is>
      </c>
      <c r="R75" t="inlineStr">
        <is>
          <t>Совиньон Блан — Винодельня Орлова — Белое сухое</t>
        </is>
      </c>
      <c r="S75" s="3" t="n">
        <v>0.9999998807907104</v>
      </c>
      <c r="T75" s="3" t="n">
        <v>6.825602838489431e-08</v>
      </c>
      <c r="U75" t="n">
        <v>834.12</v>
      </c>
    </row>
    <row r="76">
      <c r="A76" t="inlineStr">
        <is>
          <t>96.45_02-09-2026_14-19-06.webp</t>
        </is>
      </c>
      <c r="B76" t="inlineStr">
        <is>
          <t>нет в каталоге</t>
        </is>
      </c>
      <c r="F76" t="inlineStr">
        <is>
          <t>abrau-dyurso-russkoe-igristoe-polusladkoe-krasnoe-kaberne-sovinon-12</t>
        </is>
      </c>
      <c r="G76" t="inlineStr">
        <is>
          <t>abrau-dyurso-udelnoe-vedomstvo-imperatorskoe-beloe-polusladkoe</t>
        </is>
      </c>
      <c r="H76" t="inlineStr">
        <is>
          <t>abrau-dyurso-imperial-brut-rose-pino-nuar-rozovoe-bryut-12</t>
        </is>
      </c>
      <c r="I76" t="inlineStr">
        <is>
          <t>abrau-dyurso-victor-dravigny-brut-rose-pino-nuar-rozovoe-bryut-12</t>
        </is>
      </c>
      <c r="J76" t="inlineStr">
        <is>
          <t>abrau-dyurso-udelnoe-vedomstvo-imperatorskoe-beloe-bryut</t>
        </is>
      </c>
      <c r="K76">
        <f>IF(C76="","",IFERROR(MATCH(C76,F76:J76,0),"нет"))</f>
        <v/>
      </c>
      <c r="L76">
        <f>IF(C76="","",IF(K76=1,1,0))</f>
        <v/>
      </c>
      <c r="M76">
        <f>IF(C76="","",IF(ISNUMBER(K76),1,0))</f>
        <v/>
      </c>
      <c r="N76" t="inlineStr">
        <is>
          <t>Русское Игристое полусладкое красное — Абрау-Дюрсо — Красное полусладкое</t>
        </is>
      </c>
      <c r="O76" t="inlineStr">
        <is>
          <t>Абрау Дюрсо Удельное Ведомство Императорское белое полусладкое — Абрау-Дюрсо — Белое полусладкое</t>
        </is>
      </c>
      <c r="P76" t="inlineStr">
        <is>
          <t>Империал Brut Rose — Абрау-Дюрсо — Розовое брют</t>
        </is>
      </c>
      <c r="Q76" t="inlineStr">
        <is>
          <t>Victor Dravigny. Brut Rose — Абрау-Дюрсо — Розовое брют</t>
        </is>
      </c>
      <c r="R76" t="inlineStr">
        <is>
          <t>Абрау Дюрсо Удельное Ведомство Императорское белое брют — Абрау-Дюрсо — Белое брют</t>
        </is>
      </c>
      <c r="S76" s="3" t="n">
        <v>0.9999147653579712</v>
      </c>
      <c r="T76" s="3" t="n">
        <v>1.370842255710158e-06</v>
      </c>
      <c r="U76" t="n">
        <v>716.42</v>
      </c>
    </row>
    <row r="77">
      <c r="A77" t="inlineStr">
        <is>
          <t>96.45_19-08-2026_19-35-28.webp</t>
        </is>
      </c>
      <c r="B77" t="inlineStr">
        <is>
          <t>не уверен</t>
        </is>
      </c>
      <c r="C77" t="inlineStr">
        <is>
          <t>czitronnyj-magaracha</t>
        </is>
      </c>
      <c r="D77" t="inlineStr">
        <is>
          <t>Цитрон — Табия — Белое сухое</t>
        </is>
      </c>
      <c r="E77" t="inlineStr">
        <is>
          <t>в slug сухое, а нужно полусухое, но полусухого нет</t>
        </is>
      </c>
      <c r="F77" t="inlineStr">
        <is>
          <t>czitronnyj-magaracha</t>
        </is>
      </c>
      <c r="G77" t="inlineStr">
        <is>
          <t>risling-1</t>
        </is>
      </c>
      <c r="H77" t="inlineStr">
        <is>
          <t>oleg</t>
        </is>
      </c>
      <c r="I77" t="inlineStr">
        <is>
          <t>rubin-golodrigi</t>
        </is>
      </c>
      <c r="J77" t="inlineStr">
        <is>
          <t>bukovinka</t>
        </is>
      </c>
      <c r="K77">
        <f>IF(C77="","",IFERROR(MATCH(C77,F77:J77,0),"нет"))</f>
        <v/>
      </c>
      <c r="L77">
        <f>IF(C77="","",IF(K77=1,1,0))</f>
        <v/>
      </c>
      <c r="M77">
        <f>IF(C77="","",IF(ISNUMBER(K77),1,0))</f>
        <v/>
      </c>
      <c r="N77" t="inlineStr">
        <is>
          <t>Цитрон — Табия — Белое сухое</t>
        </is>
      </c>
      <c r="O77" t="inlineStr">
        <is>
          <t>Рислинг — Табия — Белое полусухое</t>
        </is>
      </c>
      <c r="P77" t="inlineStr">
        <is>
          <t>Олег — Табия — Белое сухое</t>
        </is>
      </c>
      <c r="Q77" t="inlineStr">
        <is>
          <t>Рубин Голодриги  — Табия — Красное сухое</t>
        </is>
      </c>
      <c r="R77" t="inlineStr">
        <is>
          <t>Буковинка — Табия — Белое полусухое</t>
        </is>
      </c>
      <c r="S77" s="3" t="n">
        <v>0.9999997615814209</v>
      </c>
      <c r="T77" s="3" t="n">
        <v>7.734419682492444e-08</v>
      </c>
      <c r="U77" t="n">
        <v>525.9400000000001</v>
      </c>
    </row>
    <row r="78">
      <c r="A78" t="inlineStr">
        <is>
          <t>96.53_03-09-2026_16-39-17.webp</t>
        </is>
      </c>
      <c r="B78" t="inlineStr">
        <is>
          <t>нет в каталоге</t>
        </is>
      </c>
      <c r="F78" t="inlineStr">
        <is>
          <t>fanagoriya-beloe-polusladkoe</t>
        </is>
      </c>
      <c r="G78" t="inlineStr">
        <is>
          <t>rozovoe-polusladkoe</t>
        </is>
      </c>
      <c r="H78" t="inlineStr">
        <is>
          <t>fanagoriya-fanagoria-extra-brut-rose-2019-pino-nuar-igristoe-bryut-rozovoe-ekstra-bryut-12</t>
        </is>
      </c>
      <c r="I78" t="inlineStr">
        <is>
          <t>fanagoriya-fanagoriya-blanc-de-blancs-beloe-iz-belogo-shardone-igristoe-bryut-beloe-11-13</t>
        </is>
      </c>
      <c r="J78" t="inlineStr">
        <is>
          <t>fanagoriya-zelyonoe-vino-risling-tsitronnyy-magaracha-merlo-rozovoe-polusuhoe-11</t>
        </is>
      </c>
      <c r="K78">
        <f>IF(C78="","",IFERROR(MATCH(C78,F78:J78,0),"нет"))</f>
        <v/>
      </c>
      <c r="L78">
        <f>IF(C78="","",IF(K78=1,1,0))</f>
        <v/>
      </c>
      <c r="M78">
        <f>IF(C78="","",IF(ISNUMBER(K78),1,0))</f>
        <v/>
      </c>
      <c r="N78" t="inlineStr">
        <is>
          <t>Фанагория белое полусладкое — Фанагория — Белое полусладкое</t>
        </is>
      </c>
      <c r="O78" t="inlineStr">
        <is>
          <t>Розовое полусладкое — Фанагория — Розовое полусладкое</t>
        </is>
      </c>
      <c r="P78" t="inlineStr">
        <is>
          <t>Fanagoria Extra Brut Rose 2019 — Фанагория — Розовое экстра брют</t>
        </is>
      </c>
      <c r="Q78" t="inlineStr">
        <is>
          <t>Фанагория. Blanc de Blancs. Белое из белого — Фанагория — Белое брют</t>
        </is>
      </c>
      <c r="R78" t="inlineStr">
        <is>
          <t>Зелёное вино. Рислинг - Цитронный Магарача - Мерло — Фанагория — Розовое полусухое</t>
        </is>
      </c>
      <c r="S78" s="3" t="n">
        <v>0.4068005979061127</v>
      </c>
      <c r="T78" s="3" t="n">
        <v>0.06238489225506783</v>
      </c>
      <c r="U78" t="n">
        <v>894.23</v>
      </c>
    </row>
    <row r="79">
      <c r="A79" t="inlineStr">
        <is>
          <t>96.54_04-09-2026_19-30-52.webp</t>
        </is>
      </c>
      <c r="B79" t="inlineStr">
        <is>
          <t>уверенно</t>
        </is>
      </c>
      <c r="C79" t="inlineStr">
        <is>
          <t>denisov-winery-risling-beloe-suhoe-115</t>
        </is>
      </c>
      <c r="D79" t="inlineStr">
        <is>
          <t>Рислинг — Denisov Winery — Белое сухое</t>
        </is>
      </c>
      <c r="F79" t="inlineStr">
        <is>
          <t>denisov-winery-risling-beloe-suhoe-115</t>
        </is>
      </c>
      <c r="G79" t="inlineStr">
        <is>
          <t>dubinin-winery-risling-beloe-suhoe-12</t>
        </is>
      </c>
      <c r="H79" t="inlineStr">
        <is>
          <t>risling-2</t>
        </is>
      </c>
      <c r="I79" t="inlineStr">
        <is>
          <t>vinodelnya-78-aligote-otbornoe-beloe-suhoe-12</t>
        </is>
      </c>
      <c r="J79" t="inlineStr">
        <is>
          <t>belbek-rkatsiteli-barrik-beloe-suhoe-13</t>
        </is>
      </c>
      <c r="K79">
        <f>IF(C79="","",IFERROR(MATCH(C79,F79:J79,0),"нет"))</f>
        <v/>
      </c>
      <c r="L79">
        <f>IF(C79="","",IF(K79=1,1,0))</f>
        <v/>
      </c>
      <c r="M79">
        <f>IF(C79="","",IF(ISNUMBER(K79),1,0))</f>
        <v/>
      </c>
      <c r="N79" t="inlineStr">
        <is>
          <t>Рислинг — Denisov Winery — Белое сухое</t>
        </is>
      </c>
      <c r="O79" t="inlineStr">
        <is>
          <t>Рислинг — Dubinin Winery — Белое сухое</t>
        </is>
      </c>
      <c r="P79" t="inlineStr">
        <is>
          <t>Рислинг  — Литавщук. Litavshchuk vineyards &amp; winery — Белое полусухое</t>
        </is>
      </c>
      <c r="Q79" t="inlineStr">
        <is>
          <t>Алиготе Отборное — Винодельня 78 — Белое сухое</t>
        </is>
      </c>
      <c r="R79" t="inlineStr">
        <is>
          <t>Ркацители Баррик — Бельбек — Белое сухое</t>
        </is>
      </c>
      <c r="S79" s="3" t="n">
        <v>1</v>
      </c>
      <c r="T79" s="3" t="n">
        <v>4.139937814784389e-08</v>
      </c>
      <c r="U79" t="n">
        <v>824.11</v>
      </c>
    </row>
    <row r="80">
      <c r="A80" t="inlineStr">
        <is>
          <t>96.55_30-08-2026_19-34-31.webp</t>
        </is>
      </c>
      <c r="B80" t="inlineStr">
        <is>
          <t>уверенно</t>
        </is>
      </c>
      <c r="C80" t="inlineStr">
        <is>
          <t>novyy-svet-dom-shampanskih-vin-novyy-svet-polusladkoe-roze-shardone-rozovoe-115</t>
        </is>
      </c>
      <c r="D80" t="inlineStr">
        <is>
          <t>Новый Свет полусладкое розе — Новый Свет. Дом шампанских вин — Розовое полусладкое</t>
        </is>
      </c>
      <c r="F80" t="inlineStr">
        <is>
          <t>novyy-svet-dom-shampanskih-vin-novyy-svet-polusladkoe-roze-shardone-rozovoe-115</t>
        </is>
      </c>
      <c r="G80" t="inlineStr">
        <is>
          <t>novyy-svet-dom-shampanskih-vin-rossiyskoe-shampanskoe-vyderzhannoe-polusladkoe-rozovoe-novyy-svet-shardone-125</t>
        </is>
      </c>
      <c r="H80" t="inlineStr">
        <is>
          <t>novyj-svet-polusladkoe</t>
        </is>
      </c>
      <c r="I80" t="inlineStr">
        <is>
          <t>novyj-svet-vyderzhannoe-bryut</t>
        </is>
      </c>
      <c r="J80" t="inlineStr">
        <is>
          <t>novyj-svet-polusuhoe-kollekczionnoe</t>
        </is>
      </c>
      <c r="K80">
        <f>IF(C80="","",IFERROR(MATCH(C80,F80:J80,0),"нет"))</f>
        <v/>
      </c>
      <c r="L80">
        <f>IF(C80="","",IF(K80=1,1,0))</f>
        <v/>
      </c>
      <c r="M80">
        <f>IF(C80="","",IF(ISNUMBER(K80),1,0))</f>
        <v/>
      </c>
      <c r="N80" t="inlineStr">
        <is>
          <t>Новый Свет полусладкое розе — Новый Свет. Дом шампанских вин — Розовое полусладкое</t>
        </is>
      </c>
      <c r="O80" t="inlineStr">
        <is>
          <t>Российское шампанское выдержанное полусладкое розовое «Новый Свет» — Новый Свет. Дом шампанских вин — Розовое полусладкое</t>
        </is>
      </c>
      <c r="P80" t="inlineStr">
        <is>
          <t>Новый Свет полусладкое — Новый Свет. Дом шампанских вин — Белое полусладкое</t>
        </is>
      </c>
      <c r="Q80" t="inlineStr">
        <is>
          <t>Новый Свет выдержанное брют — Новый Свет. Дом шампанских вин — Белое брют</t>
        </is>
      </c>
      <c r="R80" t="inlineStr">
        <is>
          <t>Новый Свет полусухое коллекционное — Новый Свет. Дом шампанских вин — Белое полусухое</t>
        </is>
      </c>
      <c r="S80" s="3" t="n">
        <v>0.9999703168869019</v>
      </c>
      <c r="T80" s="3" t="n">
        <v>3.466224711701216e-07</v>
      </c>
      <c r="U80" t="n">
        <v>847.87</v>
      </c>
    </row>
    <row r="81">
      <c r="A81" t="inlineStr">
        <is>
          <t>96.58_05-09-2026_16-05-04.webp</t>
        </is>
      </c>
      <c r="B81" t="inlineStr">
        <is>
          <t>уверенно</t>
        </is>
      </c>
      <c r="C81" t="inlineStr">
        <is>
          <t>fanagoriya-zelyonoe-vino-risling-tsitronnyy-magaracha-beloe-polusuhoe-11</t>
        </is>
      </c>
      <c r="D81" t="inlineStr">
        <is>
          <t>Зелёное вино. Рислинг - Цитронный Магарача — Фанагория — Белое полусухое</t>
        </is>
      </c>
      <c r="F81" t="inlineStr">
        <is>
          <t>fanagoriya-zelyonoe-vino-risling-tsitronnyy-magaracha-beloe-polusuhoe-11</t>
        </is>
      </c>
      <c r="G81" t="inlineStr">
        <is>
          <t>fanagoriya-zelyonoe-vino-risling-tsitronnyy-magaracha-merlo-rozovoe-polusuhoe-11</t>
        </is>
      </c>
      <c r="H81" t="inlineStr">
        <is>
          <t>fanagoriya-beloe-polusladkoe</t>
        </is>
      </c>
      <c r="I81" t="inlineStr">
        <is>
          <t>rozovoe-polusladkoe</t>
        </is>
      </c>
      <c r="J81" t="inlineStr">
        <is>
          <t>eleonora</t>
        </is>
      </c>
      <c r="K81">
        <f>IF(C81="","",IFERROR(MATCH(C81,F81:J81,0),"нет"))</f>
        <v/>
      </c>
      <c r="L81">
        <f>IF(C81="","",IF(K81=1,1,0))</f>
        <v/>
      </c>
      <c r="M81">
        <f>IF(C81="","",IF(ISNUMBER(K81),1,0))</f>
        <v/>
      </c>
      <c r="N81" t="inlineStr">
        <is>
          <t>Зелёное вино. Рислинг - Цитронный Магарача — Фанагория — Белое полусухое</t>
        </is>
      </c>
      <c r="O81" t="inlineStr">
        <is>
          <t>Зелёное вино. Рислинг - Цитронный Магарача - Мерло — Фанагория — Розовое полусухое</t>
        </is>
      </c>
      <c r="P81" t="inlineStr">
        <is>
          <t>Фанагория белое полусладкое — Фанагория — Белое полусладкое</t>
        </is>
      </c>
      <c r="Q81" t="inlineStr">
        <is>
          <t>Розовое полусладкое — Фанагория — Розовое полусладкое</t>
        </is>
      </c>
      <c r="R81" t="inlineStr">
        <is>
          <t>Eleonora, 2021 — WINEMAFIA — Белое сухое</t>
        </is>
      </c>
      <c r="S81" s="3" t="n">
        <v>0.9999996423721313</v>
      </c>
      <c r="T81" s="3" t="n">
        <v>2.382368791131739e-07</v>
      </c>
      <c r="U81" t="n">
        <v>736.15</v>
      </c>
    </row>
    <row r="82">
      <c r="A82" t="inlineStr">
        <is>
          <t>96.61_28-08-2026_09-16-27.webp</t>
        </is>
      </c>
      <c r="B82" t="inlineStr">
        <is>
          <t>нет в каталоге</t>
        </is>
      </c>
      <c r="F82" t="inlineStr">
        <is>
          <t>balaklava-muskat-beloe-polusladkoe</t>
        </is>
      </c>
      <c r="G82" t="inlineStr">
        <is>
          <t>balaklava-bryut-rezerv</t>
        </is>
      </c>
      <c r="H82" t="inlineStr">
        <is>
          <t>balaklava-muskat</t>
        </is>
      </c>
      <c r="I82" t="inlineStr">
        <is>
          <t>balaklava-pino-nuar</t>
        </is>
      </c>
      <c r="J82" t="inlineStr">
        <is>
          <t>shardone-balaklava</t>
        </is>
      </c>
      <c r="K82">
        <f>IF(C82="","",IFERROR(MATCH(C82,F82:J82,0),"нет"))</f>
        <v/>
      </c>
      <c r="L82">
        <f>IF(C82="","",IF(K82=1,1,0))</f>
        <v/>
      </c>
      <c r="M82">
        <f>IF(C82="","",IF(ISNUMBER(K82),1,0))</f>
        <v/>
      </c>
      <c r="N82" t="inlineStr">
        <is>
          <t>Балаклава Мускат белое полусладкое — Золотая Балка — Белое полусладкое</t>
        </is>
      </c>
      <c r="O82" t="inlineStr">
        <is>
          <t>Балаклава Брют Резерв — Золотая Балка — Белое брют</t>
        </is>
      </c>
      <c r="P82" t="inlineStr">
        <is>
          <t>Балаклава Мускат — Золотая Балка — Белое брют</t>
        </is>
      </c>
      <c r="Q82" t="inlineStr">
        <is>
          <t>Балаклава Пино Нуар — Золотая Балка — Розовое брют</t>
        </is>
      </c>
      <c r="R82" t="inlineStr">
        <is>
          <t>Шардоне Балаклава  — Золотая Балка — Белое брют</t>
        </is>
      </c>
      <c r="S82" s="3" t="n">
        <v>0.9999996423721313</v>
      </c>
      <c r="T82" s="3" t="n">
        <v>1.444979744746888e-07</v>
      </c>
      <c r="U82" t="n">
        <v>1622.51</v>
      </c>
    </row>
    <row r="83">
      <c r="A83" t="inlineStr">
        <is>
          <t>96.62_07-09-2026_18-12-27.webp</t>
        </is>
      </c>
      <c r="B83" t="inlineStr">
        <is>
          <t>уверенно</t>
        </is>
      </c>
      <c r="C83" t="inlineStr">
        <is>
          <t>fanagoriya-zelyonoe-vino-risling-tsitronnyy-magaracha-beloe-polusuhoe-11</t>
        </is>
      </c>
      <c r="D83" t="inlineStr">
        <is>
          <t>Зелёное вино. Рислинг - Цитронный Магарача — Фанагория — Белое полусухое</t>
        </is>
      </c>
      <c r="F83" t="inlineStr">
        <is>
          <t>fanagoriya-zelyonoe-vino-risling-tsitronnyy-magaracha-beloe-polusuhoe-11</t>
        </is>
      </c>
      <c r="G83" t="inlineStr">
        <is>
          <t>fanagoriya-zelyonoe-vino-risling-tsitronnyy-magaracha-merlo-rozovoe-polusuhoe-11</t>
        </is>
      </c>
      <c r="H83" t="inlineStr">
        <is>
          <t>fanagoriya-100-ottenkov-shardone-beloe-suhoe-14</t>
        </is>
      </c>
      <c r="I83" t="inlineStr">
        <is>
          <t>fanagoriya-beloe-polusladkoe</t>
        </is>
      </c>
      <c r="J83" t="inlineStr">
        <is>
          <t>rozovoe-polusladkoe</t>
        </is>
      </c>
      <c r="K83">
        <f>IF(C83="","",IFERROR(MATCH(C83,F83:J83,0),"нет"))</f>
        <v/>
      </c>
      <c r="L83">
        <f>IF(C83="","",IF(K83=1,1,0))</f>
        <v/>
      </c>
      <c r="M83">
        <f>IF(C83="","",IF(ISNUMBER(K83),1,0))</f>
        <v/>
      </c>
      <c r="N83" t="inlineStr">
        <is>
          <t>Зелёное вино. Рислинг - Цитронный Магарача — Фанагория — Белое полусухое</t>
        </is>
      </c>
      <c r="O83" t="inlineStr">
        <is>
          <t>Зелёное вино. Рислинг - Цитронный Магарача - Мерло — Фанагория — Розовое полусухое</t>
        </is>
      </c>
      <c r="P83" t="inlineStr">
        <is>
          <t>100 оттенков. Шардоне — Фанагория — Белое сухое</t>
        </is>
      </c>
      <c r="Q83" t="inlineStr">
        <is>
          <t>Фанагория белое полусладкое — Фанагория — Белое полусладкое</t>
        </is>
      </c>
      <c r="R83" t="inlineStr">
        <is>
          <t>Розовое полусладкое — Фанагория — Розовое полусладкое</t>
        </is>
      </c>
      <c r="S83" s="3" t="n">
        <v>0.9999998807907104</v>
      </c>
      <c r="T83" s="3" t="n">
        <v>6.825602838489431e-08</v>
      </c>
      <c r="U83" t="n">
        <v>941.0599999999999</v>
      </c>
    </row>
    <row r="84">
      <c r="A84" t="inlineStr">
        <is>
          <t>96.64_26-08-2026_16-52-37.webp</t>
        </is>
      </c>
      <c r="B84" t="inlineStr">
        <is>
          <t>нет в каталоге</t>
        </is>
      </c>
      <c r="F84" t="inlineStr">
        <is>
          <t>valeriy-zaharin-bastardo-kefesiya-avtohtonnoe-vino-kryma-bastardo-magarachskiy-krasnoe-suhoe-115</t>
        </is>
      </c>
      <c r="G84" t="inlineStr">
        <is>
          <t>vinodelnya-begildeeva-kaberne-sovinon-krasnoe-suhoe-14</t>
        </is>
      </c>
      <c r="H84" t="inlineStr">
        <is>
          <t>valeriy-zaharin-avtorskoe-vino-ot-valeriya-zaharina-bastardo-bastardo-magarachskiy-krasnoe-suhoe-12</t>
        </is>
      </c>
      <c r="I84" t="inlineStr">
        <is>
          <t>valeriy-zaharin-avtorskoe-vino-ot-valeriya-zaharina-aleatiko-rozovoe-suhoe-115</t>
        </is>
      </c>
      <c r="J84" t="inlineStr">
        <is>
          <t>valeriy-zaharin-avtorskoe-vino-ot-valeriya-zaharina-krasnoe-pino-nuar-suhoe-125</t>
        </is>
      </c>
      <c r="K84">
        <f>IF(C84="","",IFERROR(MATCH(C84,F84:J84,0),"нет"))</f>
        <v/>
      </c>
      <c r="L84">
        <f>IF(C84="","",IF(K84=1,1,0))</f>
        <v/>
      </c>
      <c r="M84">
        <f>IF(C84="","",IF(ISNUMBER(K84),1,0))</f>
        <v/>
      </c>
      <c r="N84" t="inlineStr">
        <is>
          <t>Бастардо - Кефесия. Автохтонное вино Крыма — Валерий Захарьин — Красное сухое</t>
        </is>
      </c>
      <c r="O84" t="inlineStr">
        <is>
          <t>Каберне Совиньон — Винодельня Бегильдеева — Красное сухое</t>
        </is>
      </c>
      <c r="P84" t="inlineStr">
        <is>
          <t>Авторское вино от Валерия Захарьина. Бастардо — Валерий Захарьин — Красное сухое</t>
        </is>
      </c>
      <c r="Q84" t="inlineStr">
        <is>
          <t>Авторское вино от Валерия Захарьина. Алеатико — Валерий Захарьин — Розовое сухое</t>
        </is>
      </c>
      <c r="R84" t="inlineStr">
        <is>
          <t>Авторское вино от Валерия Захарьина. Красное — Валерий Захарьин — Красное сухое</t>
        </is>
      </c>
      <c r="S84" s="3" t="n">
        <v>0.771795928478241</v>
      </c>
      <c r="T84" s="3" t="n">
        <v>0.0001570360618643463</v>
      </c>
      <c r="U84" t="n">
        <v>586.29</v>
      </c>
    </row>
    <row r="85">
      <c r="A85" t="inlineStr">
        <is>
          <t>96.65_02-09-2026_12-08-51.webp</t>
        </is>
      </c>
      <c r="B85" t="inlineStr">
        <is>
          <t>уверенно</t>
        </is>
      </c>
      <c r="C85" t="inlineStr">
        <is>
          <t>kaberne-sovinon-3</t>
        </is>
      </c>
      <c r="D85" t="inlineStr">
        <is>
          <t>Каберне Совиньон — Литавщук. Litavshchuk vineyards &amp; winery — Красное полусухое</t>
        </is>
      </c>
      <c r="F85" t="inlineStr">
        <is>
          <t>kaberne-sovinon-3</t>
        </is>
      </c>
      <c r="G85" t="inlineStr">
        <is>
          <t>vinodelnya-begildeeva-kaberne-sovinon-krasnoe-suhoe-14</t>
        </is>
      </c>
      <c r="H85" t="inlineStr">
        <is>
          <t>vinodelnya-begildeeva-kaberne-sovinon-merlo-krasnoe-suhoe-14</t>
        </is>
      </c>
      <c r="I85" t="inlineStr">
        <is>
          <t>kaberne-sovinon-1</t>
        </is>
      </c>
      <c r="J85" t="inlineStr">
        <is>
          <t>kaberne-sovinon-4</t>
        </is>
      </c>
      <c r="K85">
        <f>IF(C85="","",IFERROR(MATCH(C85,F85:J85,0),"нет"))</f>
        <v/>
      </c>
      <c r="L85">
        <f>IF(C85="","",IF(K85=1,1,0))</f>
        <v/>
      </c>
      <c r="M85">
        <f>IF(C85="","",IF(ISNUMBER(K85),1,0))</f>
        <v/>
      </c>
      <c r="N85" t="inlineStr">
        <is>
          <t>Каберне Совиньон — Литавщук. Litavshchuk vineyards &amp; winery — Красное полусухое</t>
        </is>
      </c>
      <c r="O85" t="inlineStr">
        <is>
          <t>Каберне Совиньон — Винодельня Бегильдеева — Красное сухое</t>
        </is>
      </c>
      <c r="P85" t="inlineStr">
        <is>
          <t>Каберне Совиньон – Мерло — Винодельня Бегильдеева — Красное сухое</t>
        </is>
      </c>
      <c r="Q85" t="inlineStr">
        <is>
          <t>Каберне Совиньон — Галицкий и Галицкий — Красное сухое</t>
        </is>
      </c>
      <c r="R85" t="inlineStr">
        <is>
          <t>Каберне Совиньон — Усадьба Перовских — Красное сухое</t>
        </is>
      </c>
      <c r="S85" s="3" t="n">
        <v>0.9999991655349731</v>
      </c>
      <c r="T85" s="3" t="n">
        <v>3.927860063868138e-07</v>
      </c>
      <c r="U85" t="n">
        <v>855.8099999999999</v>
      </c>
    </row>
    <row r="86">
      <c r="A86" t="inlineStr">
        <is>
          <t>96.66_22-08-2026_20-44-40.webp</t>
        </is>
      </c>
      <c r="B86" t="inlineStr">
        <is>
          <t>уверенно</t>
        </is>
      </c>
      <c r="C86" t="inlineStr">
        <is>
          <t>perovskih_polusuhoe_krasnoe</t>
        </is>
      </c>
      <c r="D86" t="inlineStr">
        <is>
          <t>Полусухое Красное — Усадьба Перовских — Красное полусухое</t>
        </is>
      </c>
      <c r="F86" t="inlineStr">
        <is>
          <t>perovskih_polusladkoe_krasnoe</t>
        </is>
      </c>
      <c r="G86" t="inlineStr">
        <is>
          <t>perovskih_polusuhoe_krasnoe</t>
        </is>
      </c>
      <c r="H86" t="inlineStr">
        <is>
          <t>perovskih_polusladkoe_beloe</t>
        </is>
      </c>
      <c r="I86" t="inlineStr">
        <is>
          <t>perovskih_polusladkoe_rosovoe</t>
        </is>
      </c>
      <c r="J86" t="inlineStr">
        <is>
          <t>rozovoe-polusuhoe</t>
        </is>
      </c>
      <c r="K86">
        <f>IF(C86="","",IFERROR(MATCH(C86,F86:J86,0),"нет"))</f>
        <v/>
      </c>
      <c r="L86">
        <f>IF(C86="","",IF(K86=1,1,0))</f>
        <v/>
      </c>
      <c r="M86">
        <f>IF(C86="","",IF(ISNUMBER(K86),1,0))</f>
        <v/>
      </c>
      <c r="N86" t="inlineStr">
        <is>
          <t>Полусладкое Красное — Усадьба Перовских — Красное полусладкое</t>
        </is>
      </c>
      <c r="O86" t="inlineStr">
        <is>
          <t>Полусухое Красное — Усадьба Перовских — Красное полусухое</t>
        </is>
      </c>
      <c r="P86" t="inlineStr">
        <is>
          <t>Полусладкое Белое  — Усадьба Перовских — Белое полусладкое</t>
        </is>
      </c>
      <c r="Q86" t="inlineStr">
        <is>
          <t>Полусладкое розовое — Усадьба Перовских — Розовое полусладкое</t>
        </is>
      </c>
      <c r="R86" t="inlineStr">
        <is>
          <t>Розовое полусухое — Усадьба Перовских — Розовое полусухое</t>
        </is>
      </c>
      <c r="S86" s="3" t="n">
        <v>0.9996575117111206</v>
      </c>
      <c r="T86" s="3" t="n">
        <v>4.005157097708434e-05</v>
      </c>
      <c r="U86" t="n">
        <v>746.16</v>
      </c>
    </row>
    <row r="87">
      <c r="A87" t="inlineStr">
        <is>
          <t>96.67_27-08-2026_17-47-05.webp</t>
        </is>
      </c>
      <c r="B87" t="inlineStr">
        <is>
          <t>нет в каталоге</t>
        </is>
      </c>
      <c r="F87" t="inlineStr">
        <is>
          <t>vinodelnya-begildeeva-kaberne-sovinon-krasnoe-suhoe-14</t>
        </is>
      </c>
      <c r="G87" t="inlineStr">
        <is>
          <t>vinodelnya-begildeeva-merlo-krasnoe-suhoe-14</t>
        </is>
      </c>
      <c r="H87" t="inlineStr">
        <is>
          <t>vinodelnya-begildeeva-kaberne-sovinon-merlo-krasnoe-suhoe-14</t>
        </is>
      </c>
      <c r="I87" t="inlineStr">
        <is>
          <t>belbek-beloe-suhoe-kaberne-sovinon-krasnoe-14</t>
        </is>
      </c>
      <c r="J87" t="inlineStr">
        <is>
          <t>soyuz-vino-soyuz-vino-izabella-krasnoe-polusladkoe-11</t>
        </is>
      </c>
      <c r="K87">
        <f>IF(C87="","",IFERROR(MATCH(C87,F87:J87,0),"нет"))</f>
        <v/>
      </c>
      <c r="L87">
        <f>IF(C87="","",IF(K87=1,1,0))</f>
        <v/>
      </c>
      <c r="M87">
        <f>IF(C87="","",IF(ISNUMBER(K87),1,0))</f>
        <v/>
      </c>
      <c r="N87" t="inlineStr">
        <is>
          <t>Каберне Совиньон — Винодельня Бегильдеева — Красное сухое</t>
        </is>
      </c>
      <c r="O87" t="inlineStr">
        <is>
          <t>Мерло — Винодельня Бегильдеева — Красное сухое</t>
        </is>
      </c>
      <c r="P87" t="inlineStr">
        <is>
          <t>Каберне Совиньон – Мерло — Винодельня Бегильдеева — Красное сухое</t>
        </is>
      </c>
      <c r="Q87" t="inlineStr">
        <is>
          <t>Белое сухое — Бельбек — Красное сухое</t>
        </is>
      </c>
      <c r="R87" t="inlineStr">
        <is>
          <t>Союз-Вино Изабелла — Союз-Вино — Красное полусладкое</t>
        </is>
      </c>
      <c r="S87" s="3" t="n">
        <v>0.008511648513376713</v>
      </c>
      <c r="T87" s="3" t="n">
        <v>0.9838128089904785</v>
      </c>
      <c r="U87" t="n">
        <v>560.67</v>
      </c>
    </row>
    <row r="88">
      <c r="A88" t="inlineStr">
        <is>
          <t>96.74_28-08-2026_13-52-26.webp</t>
        </is>
      </c>
      <c r="B88" t="inlineStr">
        <is>
          <t>уверенно</t>
        </is>
      </c>
      <c r="C88" t="inlineStr">
        <is>
          <t>usadba-mezyb-shishka-kupazh-5-kaberne-sovinon-rozovoe-suhoe-133</t>
        </is>
      </c>
      <c r="D88" t="inlineStr">
        <is>
          <t>Шишка. Купаж №5 — Усадьба Мезыбь — Розовое сухое</t>
        </is>
      </c>
      <c r="F88" t="inlineStr">
        <is>
          <t>usadba-mezyb-shishka-kupazh-5-kaberne-sovinon-rozovoe-suhoe-133</t>
        </is>
      </c>
      <c r="G88" t="inlineStr">
        <is>
          <t>usadba-mezyb-shishka-pino-nuar-rozovoe-suhoe-115</t>
        </is>
      </c>
      <c r="H88" t="inlineStr">
        <is>
          <t>usadba-mezyb-shishka-oranzh-shardone-beloe-suhoe-127</t>
        </is>
      </c>
      <c r="I88" t="inlineStr">
        <is>
          <t>usadba-mezyb-shishka-shenen-blan-sovinon-blan-beloe-suhoe-126</t>
        </is>
      </c>
      <c r="J88" t="inlineStr">
        <is>
          <t>usadba-mezyb-shishka-shenen-blan-beloe-suhoe-13</t>
        </is>
      </c>
      <c r="K88">
        <f>IF(C88="","",IFERROR(MATCH(C88,F88:J88,0),"нет"))</f>
        <v/>
      </c>
      <c r="L88">
        <f>IF(C88="","",IF(K88=1,1,0))</f>
        <v/>
      </c>
      <c r="M88">
        <f>IF(C88="","",IF(ISNUMBER(K88),1,0))</f>
        <v/>
      </c>
      <c r="N88" t="inlineStr">
        <is>
          <t>Шишка. Купаж №5 — Усадьба Мезыбь — Розовое сухое</t>
        </is>
      </c>
      <c r="O88" t="inlineStr">
        <is>
          <t>Шишка. Пино Нуар — Усадьба Мезыбь — Розовое сухое</t>
        </is>
      </c>
      <c r="P88" t="inlineStr">
        <is>
          <t>Шишка. Оранж — Усадьба Мезыбь — Белое сухое</t>
        </is>
      </c>
      <c r="Q88" t="inlineStr">
        <is>
          <t>Шишка. Шенен Блан, Совиньон Блан — Усадьба Мезыбь — Белое сухое</t>
        </is>
      </c>
      <c r="R88" t="inlineStr">
        <is>
          <t>Шишка. Шенен Блан — Усадьба Мезыбь — Белое сухое</t>
        </is>
      </c>
      <c r="S88" s="3" t="n">
        <v>0.9999961853027344</v>
      </c>
      <c r="T88" s="3" t="n">
        <v>9.93115705227865e-08</v>
      </c>
      <c r="U88" t="n">
        <v>1831.9</v>
      </c>
    </row>
    <row r="89">
      <c r="A89" t="inlineStr">
        <is>
          <t>96.76_07-09-2026_14-57-04.webp</t>
        </is>
      </c>
      <c r="B89" t="inlineStr">
        <is>
          <t>уверенно</t>
        </is>
      </c>
      <c r="C89" t="inlineStr">
        <is>
          <t>pozdnij-sbor-krasnoe</t>
        </is>
      </c>
      <c r="D89" t="inlineStr">
        <is>
          <t>Поздний сбор, Красное — Литавщук. Litavshchuk vineyards &amp; winery — Красное сладкое</t>
        </is>
      </c>
      <c r="F89" t="inlineStr">
        <is>
          <t>pozdnij-sbor-krasnoe</t>
        </is>
      </c>
      <c r="G89" t="inlineStr">
        <is>
          <t>pozdnij-sbor-beloe</t>
        </is>
      </c>
      <c r="H89" t="inlineStr">
        <is>
          <t>usadba-aleksandrovskaya-bubnovyy-valet-kaberne-sovinon-krasnoe-polusladkoe-13</t>
        </is>
      </c>
      <c r="I89" t="inlineStr">
        <is>
          <t>kokur-premium</t>
        </is>
      </c>
      <c r="J89" t="inlineStr">
        <is>
          <t>kaberne-sovinon-4</t>
        </is>
      </c>
      <c r="K89">
        <f>IF(C89="","",IFERROR(MATCH(C89,F89:J89,0),"нет"))</f>
        <v/>
      </c>
      <c r="L89">
        <f>IF(C89="","",IF(K89=1,1,0))</f>
        <v/>
      </c>
      <c r="M89">
        <f>IF(C89="","",IF(ISNUMBER(K89),1,0))</f>
        <v/>
      </c>
      <c r="N89" t="inlineStr">
        <is>
          <t>Поздний сбор, Красное — Литавщук. Litavshchuk vineyards &amp; winery — Красное сладкое</t>
        </is>
      </c>
      <c r="O89" t="inlineStr">
        <is>
          <t>Поздний сбор  Белое — Литавщук. Litavshchuk vineyards &amp; winery — Белое сладкое</t>
        </is>
      </c>
      <c r="P89" t="inlineStr">
        <is>
          <t>Бубновый Валет — Усадьба Александровская — Красное полусладкое</t>
        </is>
      </c>
      <c r="Q89" t="inlineStr">
        <is>
          <t>Кокур Премиум — Массандра — Белое сухое</t>
        </is>
      </c>
      <c r="R89" t="inlineStr">
        <is>
          <t>Каберне Совиньон — Усадьба Перовских — Красное сухое</t>
        </is>
      </c>
      <c r="S89" s="3" t="n">
        <v>0.9995625615119934</v>
      </c>
      <c r="T89" s="3" t="n">
        <v>2.698397452149948e-07</v>
      </c>
      <c r="U89" t="n">
        <v>733.49</v>
      </c>
    </row>
    <row r="90">
      <c r="A90" t="inlineStr">
        <is>
          <t>96.77_24-08-2026_14-10-46.webp</t>
        </is>
      </c>
      <c r="B90" t="inlineStr">
        <is>
          <t>уверенно</t>
        </is>
      </c>
      <c r="C90" t="inlineStr">
        <is>
          <t>golubitskoe-estate-red-blend-kaberne-sovinon-krasnoe-suhoe-136</t>
        </is>
      </c>
      <c r="D90" t="inlineStr">
        <is>
          <t>Red Blend — Golubitskoe Estate — Красное сухое</t>
        </is>
      </c>
      <c r="F90" t="inlineStr">
        <is>
          <t>golubitskoe-estate-red-blend-kaberne-sovinon-krasnoe-suhoe-136</t>
        </is>
      </c>
      <c r="G90" t="inlineStr">
        <is>
          <t>pomeste-golubitskoe-kaberne-sovinon-rezerv-krasnoe-suhoe-143</t>
        </is>
      </c>
      <c r="H90" t="inlineStr">
        <is>
          <t>golubitskoe-estate-winery-series-roze-blend-kaberne-sovinon-rozovoe-suhoe-117</t>
        </is>
      </c>
      <c r="I90" t="inlineStr">
        <is>
          <t>golubitskoe-estate-winery-series-pino-nuar-rozovoe-suhoe-115</t>
        </is>
      </c>
      <c r="J90" t="inlineStr">
        <is>
          <t>golubitskoe-estate-kaberne-sovinon-rezerv-krasnoe-suhoe-125</t>
        </is>
      </c>
      <c r="K90">
        <f>IF(C90="","",IFERROR(MATCH(C90,F90:J90,0),"нет"))</f>
        <v/>
      </c>
      <c r="L90">
        <f>IF(C90="","",IF(K90=1,1,0))</f>
        <v/>
      </c>
      <c r="M90">
        <f>IF(C90="","",IF(ISNUMBER(K90),1,0))</f>
        <v/>
      </c>
      <c r="N90" t="inlineStr">
        <is>
          <t>Red Blend — Golubitskoe Estate — Красное сухое</t>
        </is>
      </c>
      <c r="O90" t="inlineStr">
        <is>
          <t>Каберне Совиньон Резерв — Golubitskoe Estate — Красное сухое</t>
        </is>
      </c>
      <c r="P90" t="inlineStr">
        <is>
          <t>Winery Series. Розе бленд — Golubitskoe Estate — Розовое сухое</t>
        </is>
      </c>
      <c r="Q90" t="inlineStr">
        <is>
          <t>Winery Series. Пино Нуар — Golubitskoe Estate — Розовое сухое</t>
        </is>
      </c>
      <c r="R90" t="inlineStr">
        <is>
          <t>Каберне Совиньон Резерв — Golubitskoe Estate — Красное сухое</t>
        </is>
      </c>
      <c r="S90" s="3" t="n">
        <v>0.9996262788772583</v>
      </c>
      <c r="T90" s="3" t="n">
        <v>1.300243638979737e-05</v>
      </c>
      <c r="U90" t="n">
        <v>772.0700000000001</v>
      </c>
    </row>
    <row r="91">
      <c r="A91" t="inlineStr">
        <is>
          <t>96.78_25-08-2026_18-04-42.webp</t>
        </is>
      </c>
      <c r="B91" t="inlineStr">
        <is>
          <t>исключено</t>
        </is>
      </c>
      <c r="E91" t="inlineStr">
        <is>
          <t>здесь на фото 2 вина разных</t>
        </is>
      </c>
      <c r="F91" t="inlineStr">
        <is>
          <t>czitronnyj-magaracha</t>
        </is>
      </c>
      <c r="G91" t="inlineStr">
        <is>
          <t>risling-1</t>
        </is>
      </c>
      <c r="H91" t="inlineStr">
        <is>
          <t>rubin-golodrigi</t>
        </is>
      </c>
      <c r="I91" t="inlineStr">
        <is>
          <t>kaberne-sovinon-2</t>
        </is>
      </c>
      <c r="J91" t="inlineStr">
        <is>
          <t>bukovinka</t>
        </is>
      </c>
      <c r="K91">
        <f>IF(C91="","",IFERROR(MATCH(C91,F91:J91,0),"нет"))</f>
        <v/>
      </c>
      <c r="L91">
        <f>IF(C91="","",IF(K91=1,1,0))</f>
        <v/>
      </c>
      <c r="M91">
        <f>IF(C91="","",IF(ISNUMBER(K91),1,0))</f>
        <v/>
      </c>
      <c r="N91" t="inlineStr">
        <is>
          <t>Цитрон — Табия — Белое сухое</t>
        </is>
      </c>
      <c r="O91" t="inlineStr">
        <is>
          <t>Рислинг — Табия — Белое полусухое</t>
        </is>
      </c>
      <c r="P91" t="inlineStr">
        <is>
          <t>Рубин Голодриги  — Табия — Красное сухое</t>
        </is>
      </c>
      <c r="Q91" t="inlineStr">
        <is>
          <t>Каберне Совиньон — Табия — Красное сухое</t>
        </is>
      </c>
      <c r="R91" t="inlineStr">
        <is>
          <t>Буковинка — Табия — Белое полусухое</t>
        </is>
      </c>
      <c r="S91" s="3" t="n">
        <v>0.9999898672103882</v>
      </c>
      <c r="T91" s="3" t="n">
        <v>1.553484594296606e-06</v>
      </c>
      <c r="U91" t="n">
        <v>621.33</v>
      </c>
    </row>
    <row r="92">
      <c r="A92" t="inlineStr">
        <is>
          <t>96.79_20-08-2026_17-48-31.webp</t>
        </is>
      </c>
      <c r="B92" t="inlineStr">
        <is>
          <t>уверенно</t>
        </is>
      </c>
      <c r="C92" t="inlineStr">
        <is>
          <t>oleg</t>
        </is>
      </c>
      <c r="D92" t="inlineStr">
        <is>
          <t>Олег — Табия — Белое сухое</t>
        </is>
      </c>
      <c r="F92" t="inlineStr">
        <is>
          <t>oleg</t>
        </is>
      </c>
      <c r="G92" t="inlineStr">
        <is>
          <t>kaberne-sovinon-2</t>
        </is>
      </c>
      <c r="H92" t="inlineStr">
        <is>
          <t>bukovinka</t>
        </is>
      </c>
      <c r="I92" t="inlineStr">
        <is>
          <t>roze-2</t>
        </is>
      </c>
      <c r="J92" t="inlineStr">
        <is>
          <t>rubin-golodrigi</t>
        </is>
      </c>
      <c r="K92">
        <f>IF(C92="","",IFERROR(MATCH(C92,F92:J92,0),"нет"))</f>
        <v/>
      </c>
      <c r="L92">
        <f>IF(C92="","",IF(K92=1,1,0))</f>
        <v/>
      </c>
      <c r="M92">
        <f>IF(C92="","",IF(ISNUMBER(K92),1,0))</f>
        <v/>
      </c>
      <c r="N92" t="inlineStr">
        <is>
          <t>Олег — Табия — Белое сухое</t>
        </is>
      </c>
      <c r="O92" t="inlineStr">
        <is>
          <t>Каберне Совиньон — Табия — Красное сухое</t>
        </is>
      </c>
      <c r="P92" t="inlineStr">
        <is>
          <t>Буковинка — Табия — Белое полусухое</t>
        </is>
      </c>
      <c r="Q92" t="inlineStr">
        <is>
          <t>Розе — Табия — Розовое сухое</t>
        </is>
      </c>
      <c r="R92" t="inlineStr">
        <is>
          <t>Рубин Голодриги  — Табия — Красное сухое</t>
        </is>
      </c>
      <c r="S92" s="3" t="n">
        <v>0.999974250793457</v>
      </c>
      <c r="T92" s="3" t="n">
        <v>1.892501859401818e-05</v>
      </c>
      <c r="U92" t="n">
        <v>575.14</v>
      </c>
    </row>
    <row r="93">
      <c r="A93" t="inlineStr">
        <is>
          <t>96.79_28-08-2026_22-05-22.webp</t>
        </is>
      </c>
      <c r="B93" t="inlineStr">
        <is>
          <t>уверенно</t>
        </is>
      </c>
      <c r="C93" t="inlineStr">
        <is>
          <t>vinodelnya-vedernikov-vedernikov-dolina-dona-beloe-suhoe-aligote-12</t>
        </is>
      </c>
      <c r="D93" t="inlineStr">
        <is>
          <t>Ведерниковъ Долина Дона Белое Сухое — Ведерниковъ — Белое сухое</t>
        </is>
      </c>
      <c r="F93" t="inlineStr">
        <is>
          <t>vinodelnya-vedernikov-vedernikov-dolina-dona-beloe-suhoe-aligote-12</t>
        </is>
      </c>
      <c r="G93" t="inlineStr">
        <is>
          <t>vinodelnya-vedernikov-sibirkovyy-beloe-suhoe-11</t>
        </is>
      </c>
      <c r="H93" t="inlineStr">
        <is>
          <t>vinodelnya-vedernikov-vedernikov-dolina-dona-krasnoe-suhoe-kaberne-sovinon-125</t>
        </is>
      </c>
      <c r="I93" t="inlineStr">
        <is>
          <t>vinodelnya-vedernikov-krasnostop-zolotovskiy-krasnoe-suhoe-13</t>
        </is>
      </c>
      <c r="J93" t="inlineStr">
        <is>
          <t>vinodelnya-vedernikov-gubernatorskoe-risling-beloe-suhoe-12</t>
        </is>
      </c>
      <c r="K93">
        <f>IF(C93="","",IFERROR(MATCH(C93,F93:J93,0),"нет"))</f>
        <v/>
      </c>
      <c r="L93">
        <f>IF(C93="","",IF(K93=1,1,0))</f>
        <v/>
      </c>
      <c r="M93">
        <f>IF(C93="","",IF(ISNUMBER(K93),1,0))</f>
        <v/>
      </c>
      <c r="N93" t="inlineStr">
        <is>
          <t>Ведерниковъ Долина Дона Белое Сухое — Ведерниковъ — Белое сухое</t>
        </is>
      </c>
      <c r="O93" t="inlineStr">
        <is>
          <t>Сибирьковый — Ведерниковъ — Белое сухое</t>
        </is>
      </c>
      <c r="P93" t="inlineStr">
        <is>
          <t>Ведерниковъ Долина Дона Красное Сухое — Ведерниковъ — Красное сухое</t>
        </is>
      </c>
      <c r="Q93" t="inlineStr">
        <is>
          <t>Красностоп Золотовский — Ведерниковъ — Красное сухое</t>
        </is>
      </c>
      <c r="R93" t="inlineStr">
        <is>
          <t>Губернаторское. Рислинг — Ведерниковъ — Белое сухое</t>
        </is>
      </c>
      <c r="S93" s="3" t="n">
        <v>0.9996846914291382</v>
      </c>
      <c r="T93" s="3" t="n">
        <v>1.759791189215321e-06</v>
      </c>
      <c r="U93" t="n">
        <v>622.01</v>
      </c>
    </row>
    <row r="94">
      <c r="A94" t="inlineStr">
        <is>
          <t>96.7_28-08-2026_13-50-21.webp</t>
        </is>
      </c>
      <c r="B94" t="inlineStr">
        <is>
          <t>нет в каталоге</t>
        </is>
      </c>
      <c r="F94" t="inlineStr">
        <is>
          <t>usadba-divnomorskoe-solist-marselan-rozovoe-suhoe-115</t>
        </is>
      </c>
      <c r="G94" t="inlineStr">
        <is>
          <t>usadba-divnomorskoe-yuzhnyy-les-merlo-krasnoe-suhoe-137</t>
        </is>
      </c>
      <c r="H94" t="inlineStr">
        <is>
          <t>usadba-divnomorskoe-holodnyy-tuman-risling-beloe-suhoe-115</t>
        </is>
      </c>
      <c r="I94" t="inlineStr">
        <is>
          <t>usadba-divnomorskoe-solnechnyy-veter-shardone-beloe-suhoe-125</t>
        </is>
      </c>
      <c r="J94" t="inlineStr">
        <is>
          <t>vinodelnya-vedernikov-vedernikov-krasnostop-zolotovskiy-magnum-krasnoe-suhoe-145</t>
        </is>
      </c>
      <c r="K94">
        <f>IF(C94="","",IFERROR(MATCH(C94,F94:J94,0),"нет"))</f>
        <v/>
      </c>
      <c r="L94">
        <f>IF(C94="","",IF(K94=1,1,0))</f>
        <v/>
      </c>
      <c r="M94">
        <f>IF(C94="","",IF(ISNUMBER(K94),1,0))</f>
        <v/>
      </c>
      <c r="N94" t="inlineStr">
        <is>
          <t>Солист — Усадьба Дивноморское — Розовое сухое</t>
        </is>
      </c>
      <c r="O94" t="inlineStr">
        <is>
          <t>Южный Лес — Усадьба Дивноморское — Красное сухое</t>
        </is>
      </c>
      <c r="P94" t="inlineStr">
        <is>
          <t>Холодный Туман — Усадьба Дивноморское — Белое сухое</t>
        </is>
      </c>
      <c r="Q94" t="inlineStr">
        <is>
          <t>Солнечный Ветер — Усадьба Дивноморское — Белое сухое</t>
        </is>
      </c>
      <c r="R94" t="inlineStr">
        <is>
          <t>Ведерниковъ Красностоп Золотовский (магнум) — Ведерниковъ — Красное сухое</t>
        </is>
      </c>
      <c r="S94" s="3" t="n">
        <v>0.6195282936096191</v>
      </c>
      <c r="T94" s="3" t="n">
        <v>0.001535657094791532</v>
      </c>
      <c r="U94" t="n">
        <v>1329.35</v>
      </c>
    </row>
    <row r="95">
      <c r="A95" t="inlineStr">
        <is>
          <t>96.83_20-08-2026_17-48-13.webp</t>
        </is>
      </c>
      <c r="B95" t="inlineStr">
        <is>
          <t>уверенно</t>
        </is>
      </c>
      <c r="C95" t="inlineStr">
        <is>
          <t>oleg</t>
        </is>
      </c>
      <c r="D95" t="inlineStr">
        <is>
          <t>Олег — Табия — Белое сухое</t>
        </is>
      </c>
      <c r="F95" t="inlineStr">
        <is>
          <t>oleg</t>
        </is>
      </c>
      <c r="G95" t="inlineStr">
        <is>
          <t>rubin-golodrigi</t>
        </is>
      </c>
      <c r="H95" t="inlineStr">
        <is>
          <t>bukovinka</t>
        </is>
      </c>
      <c r="I95" t="inlineStr">
        <is>
          <t>kaberne-sovinon-2</t>
        </is>
      </c>
      <c r="J95" t="inlineStr">
        <is>
          <t>risling-1</t>
        </is>
      </c>
      <c r="K95">
        <f>IF(C95="","",IFERROR(MATCH(C95,F95:J95,0),"нет"))</f>
        <v/>
      </c>
      <c r="L95">
        <f>IF(C95="","",IF(K95=1,1,0))</f>
        <v/>
      </c>
      <c r="M95">
        <f>IF(C95="","",IF(ISNUMBER(K95),1,0))</f>
        <v/>
      </c>
      <c r="N95" t="inlineStr">
        <is>
          <t>Олег — Табия — Белое сухое</t>
        </is>
      </c>
      <c r="O95" t="inlineStr">
        <is>
          <t>Рубин Голодриги  — Табия — Красное сухое</t>
        </is>
      </c>
      <c r="P95" t="inlineStr">
        <is>
          <t>Буковинка — Табия — Белое полусухое</t>
        </is>
      </c>
      <c r="Q95" t="inlineStr">
        <is>
          <t>Каберне Совиньон — Табия — Красное сухое</t>
        </is>
      </c>
      <c r="R95" t="inlineStr">
        <is>
          <t>Рислинг — Табия — Белое полусухое</t>
        </is>
      </c>
      <c r="S95" s="3" t="n">
        <v>0.9999992847442627</v>
      </c>
      <c r="T95" s="3" t="n">
        <v>4.45084907596538e-07</v>
      </c>
      <c r="U95" t="n">
        <v>589.12</v>
      </c>
    </row>
    <row r="96">
      <c r="A96" t="inlineStr">
        <is>
          <t>96.8_25-08-2026_22-20-38.webp</t>
        </is>
      </c>
      <c r="B96" t="inlineStr">
        <is>
          <t>не уверен</t>
        </is>
      </c>
      <c r="C96" t="inlineStr">
        <is>
          <t>sovinon-blan</t>
        </is>
      </c>
      <c r="D96" t="inlineStr">
        <is>
          <t>Совиньон Блан — Литавщук. Litavshchuk vineyards &amp; winery — Белое полусладкое</t>
        </is>
      </c>
      <c r="E96" t="inlineStr">
        <is>
          <t>то что в slug полусладкое, а на фото полусухое</t>
        </is>
      </c>
      <c r="F96" t="inlineStr">
        <is>
          <t>sovinon-blan</t>
        </is>
      </c>
      <c r="G96" t="inlineStr">
        <is>
          <t>blagolyubov-sovinon-blan-beloe-suhoe-125</t>
        </is>
      </c>
      <c r="H96" t="inlineStr">
        <is>
          <t>vinodelnya-begildeeva-kaberne-sovinon-krasnoe-suhoe-14</t>
        </is>
      </c>
      <c r="I96" t="inlineStr">
        <is>
          <t>dubinin-winery-sovinon-blan-beloe-suhoe-12</t>
        </is>
      </c>
      <c r="J96" t="inlineStr">
        <is>
          <t>vinodelnya-begildeeva-kaberne-sovinon-merlo-krasnoe-suhoe-14</t>
        </is>
      </c>
      <c r="K96">
        <f>IF(C96="","",IFERROR(MATCH(C96,F96:J96,0),"нет"))</f>
        <v/>
      </c>
      <c r="L96">
        <f>IF(C96="","",IF(K96=1,1,0))</f>
        <v/>
      </c>
      <c r="M96">
        <f>IF(C96="","",IF(ISNUMBER(K96),1,0))</f>
        <v/>
      </c>
      <c r="N96" t="inlineStr">
        <is>
          <t>Совиньон Блан — Литавщук. Litavshchuk vineyards &amp; winery — Белое полусладкое</t>
        </is>
      </c>
      <c r="O96" t="inlineStr">
        <is>
          <t>Совиньон Блан — Благолюбов — Белое сухое</t>
        </is>
      </c>
      <c r="P96" t="inlineStr">
        <is>
          <t>Каберне Совиньон — Винодельня Бегильдеева — Красное сухое</t>
        </is>
      </c>
      <c r="Q96" t="inlineStr">
        <is>
          <t>Совиньон Блан — Dubinin Winery — Белое сухое</t>
        </is>
      </c>
      <c r="R96" t="inlineStr">
        <is>
          <t>Каберне Совиньон – Мерло — Винодельня Бегильдеева — Красное сухое</t>
        </is>
      </c>
      <c r="S96" s="3" t="n">
        <v>0.9999998807907104</v>
      </c>
      <c r="T96" s="3" t="n">
        <v>1.275190442129315e-07</v>
      </c>
      <c r="U96" t="n">
        <v>898.72</v>
      </c>
    </row>
    <row r="97">
      <c r="A97" t="inlineStr">
        <is>
          <t>96.96_05-09-2026_19-02-01.webp</t>
        </is>
      </c>
      <c r="B97" t="inlineStr">
        <is>
          <t>уверенно</t>
        </is>
      </c>
      <c r="C97" t="inlineStr">
        <is>
          <t>denisov_rubin_klaret_krasnaya_strelka</t>
        </is>
      </c>
      <c r="D97" t="inlineStr">
        <is>
          <t>Рубин кларет . Красная стрелка — Denisov Winery — Розовое сухое</t>
        </is>
      </c>
      <c r="F97" t="inlineStr">
        <is>
          <t>denisov_rubin_klaret_krasnaya_strelka</t>
        </is>
      </c>
      <c r="G97" t="inlineStr">
        <is>
          <t>denisov_pino_noir_klaret</t>
        </is>
      </c>
      <c r="H97" t="inlineStr">
        <is>
          <t>vinodelnya-pokrovskaya-pokrovskoe-sladkoe-krasnoe-kaberne-sovinon-13</t>
        </is>
      </c>
      <c r="I97" t="inlineStr">
        <is>
          <t>usadba-aleksandrovskaya-bubnovyy-valet-kaberne-sovinon-krasnoe-polusladkoe-13</t>
        </is>
      </c>
      <c r="J97" t="inlineStr">
        <is>
          <t>vinodelnya-78-aligote-otbornoe-beloe-suhoe-12</t>
        </is>
      </c>
      <c r="K97">
        <f>IF(C97="","",IFERROR(MATCH(C97,F97:J97,0),"нет"))</f>
        <v/>
      </c>
      <c r="L97">
        <f>IF(C97="","",IF(K97=1,1,0))</f>
        <v/>
      </c>
      <c r="M97">
        <f>IF(C97="","",IF(ISNUMBER(K97),1,0))</f>
        <v/>
      </c>
      <c r="N97" t="inlineStr">
        <is>
          <t>Рубин кларет . Красная стрелка — Denisov Winery — Розовое сухое</t>
        </is>
      </c>
      <c r="O97" t="inlineStr">
        <is>
          <t>Пино Нуар кларет. Красная стрелка — Denisov Winery — Розовое сухое</t>
        </is>
      </c>
      <c r="P97" t="inlineStr">
        <is>
          <t>Покровское сладкое красное — Винодельня Покровская — Красное сладкое</t>
        </is>
      </c>
      <c r="Q97" t="inlineStr">
        <is>
          <t>Бубновый Валет — Усадьба Александровская — Красное полусладкое</t>
        </is>
      </c>
      <c r="R97" t="inlineStr">
        <is>
          <t>Алиготе Отборное — Винодельня 78 — Белое сухое</t>
        </is>
      </c>
      <c r="S97" s="3" t="n">
        <v>0.9999986886978149</v>
      </c>
      <c r="T97" s="3" t="n">
        <v>9.422442417417187e-07</v>
      </c>
      <c r="U97" t="n">
        <v>903.7</v>
      </c>
    </row>
    <row r="98">
      <c r="A98" t="inlineStr">
        <is>
          <t>96.98_19-08-2026_19-05-06.webp</t>
        </is>
      </c>
      <c r="B98" t="inlineStr">
        <is>
          <t>уверенно</t>
        </is>
      </c>
      <c r="C98" t="inlineStr">
        <is>
          <t>czitronnyj-magaracha</t>
        </is>
      </c>
      <c r="D98" t="inlineStr">
        <is>
          <t>Цитрон — Табия — Белое сухое</t>
        </is>
      </c>
      <c r="E98" t="inlineStr">
        <is>
          <t>в slug сухое, а нужно полусухое, но полусухого нет</t>
        </is>
      </c>
      <c r="F98" t="inlineStr">
        <is>
          <t>czitronnyj-magaracha</t>
        </is>
      </c>
      <c r="G98" t="inlineStr">
        <is>
          <t>risling-1</t>
        </is>
      </c>
      <c r="H98" t="inlineStr">
        <is>
          <t>oleg</t>
        </is>
      </c>
      <c r="I98" t="inlineStr">
        <is>
          <t>bukovinka</t>
        </is>
      </c>
      <c r="J98" t="inlineStr">
        <is>
          <t>rubin-golodrigi</t>
        </is>
      </c>
      <c r="K98">
        <f>IF(C98="","",IFERROR(MATCH(C98,F98:J98,0),"нет"))</f>
        <v/>
      </c>
      <c r="L98">
        <f>IF(C98="","",IF(K98=1,1,0))</f>
        <v/>
      </c>
      <c r="M98">
        <f>IF(C98="","",IF(ISNUMBER(K98),1,0))</f>
        <v/>
      </c>
      <c r="N98" t="inlineStr">
        <is>
          <t>Цитрон — Табия — Белое сухое</t>
        </is>
      </c>
      <c r="O98" t="inlineStr">
        <is>
          <t>Рислинг — Табия — Белое полусухое</t>
        </is>
      </c>
      <c r="P98" t="inlineStr">
        <is>
          <t>Олег — Табия — Белое сухое</t>
        </is>
      </c>
      <c r="Q98" t="inlineStr">
        <is>
          <t>Буковинка — Табия — Белое полусухое</t>
        </is>
      </c>
      <c r="R98" t="inlineStr">
        <is>
          <t>Рубин Голодриги  — Табия — Красное сухое</t>
        </is>
      </c>
      <c r="S98" s="3" t="n">
        <v>0.9999996423721313</v>
      </c>
      <c r="T98" s="3" t="n">
        <v>6.023572041158332e-08</v>
      </c>
      <c r="U98" t="n">
        <v>568.6900000000001</v>
      </c>
    </row>
    <row r="99">
      <c r="A99" t="inlineStr">
        <is>
          <t>97.02_29-08-2026_18-49-02.webp</t>
        </is>
      </c>
      <c r="B99" t="inlineStr">
        <is>
          <t>нет в каталоге</t>
        </is>
      </c>
      <c r="F99" t="inlineStr">
        <is>
          <t>caperavi-avtorskoe-vino</t>
        </is>
      </c>
      <c r="G99" t="inlineStr">
        <is>
          <t>kaberne-avtorskoe-vino</t>
        </is>
      </c>
      <c r="H99" t="inlineStr">
        <is>
          <t>kaberne-sovinon</t>
        </is>
      </c>
      <c r="I99" t="inlineStr">
        <is>
          <t>massandra-muskatel-rozovyy-belye-sorta-vinograda-rozovoe-sladkoe-16</t>
        </is>
      </c>
      <c r="J99" t="inlineStr">
        <is>
          <t>massandra-bastardo-bastardo-magarachskiy-krasnoe-sladkoe-16</t>
        </is>
      </c>
      <c r="K99">
        <f>IF(C99="","",IFERROR(MATCH(C99,F99:J99,0),"нет"))</f>
        <v/>
      </c>
      <c r="L99">
        <f>IF(C99="","",IF(K99=1,1,0))</f>
        <v/>
      </c>
      <c r="M99">
        <f>IF(C99="","",IF(ISNUMBER(K99),1,0))</f>
        <v/>
      </c>
      <c r="N99" t="inlineStr">
        <is>
          <t>Cаперави. Авторское вино — Массандра — Красное сухое</t>
        </is>
      </c>
      <c r="O99" t="inlineStr">
        <is>
          <t>Каберне. Авторское вино — Массандра — Красное сухое</t>
        </is>
      </c>
      <c r="P99" t="inlineStr">
        <is>
          <t>Каберне Совиньон — Массандра — Красное сладкое</t>
        </is>
      </c>
      <c r="Q99" t="inlineStr">
        <is>
          <t>Мускатель розовый — Массандра — Розовое сладкое</t>
        </is>
      </c>
      <c r="R99" t="inlineStr">
        <is>
          <t>Бастардо — Массандра — Красное сладкое</t>
        </is>
      </c>
      <c r="S99" s="3" t="n">
        <v>0.9999982118606567</v>
      </c>
      <c r="T99" s="3" t="n">
        <v>3.466321345513279e-07</v>
      </c>
      <c r="U99" t="n">
        <v>656.03</v>
      </c>
    </row>
    <row r="100">
      <c r="A100" t="inlineStr">
        <is>
          <t>97.08_05-09-2026_15-30-50.webp</t>
        </is>
      </c>
      <c r="B100" t="inlineStr">
        <is>
          <t>нет в каталоге</t>
        </is>
      </c>
      <c r="F100" t="inlineStr">
        <is>
          <t>fanagoriya-alveus-ultra-cuvee-brut-shardone-beloe-bryut-12</t>
        </is>
      </c>
      <c r="G100" t="inlineStr">
        <is>
          <t>fanagoriya-alveus-ultra-cuvee-ekstra-bryut-beloe-risling-reynskiy-12</t>
        </is>
      </c>
      <c r="H100" t="inlineStr">
        <is>
          <t>fanagoriya-alveus-ultra-cuvee-ekstra-bryut-rozovoe-merlo-12</t>
        </is>
      </c>
      <c r="I100" t="inlineStr">
        <is>
          <t>rozovoe-bryut-1</t>
        </is>
      </c>
      <c r="J100" t="inlineStr">
        <is>
          <t>novyy-svet-dom-shampanskih-vin-igristoe-vino-vyderzhannoe-polusladkoe-rozovoe-novyy-svet-pino-fran-135</t>
        </is>
      </c>
      <c r="K100">
        <f>IF(C100="","",IFERROR(MATCH(C100,F100:J100,0),"нет"))</f>
        <v/>
      </c>
      <c r="L100">
        <f>IF(C100="","",IF(K100=1,1,0))</f>
        <v/>
      </c>
      <c r="M100">
        <f>IF(C100="","",IF(ISNUMBER(K100),1,0))</f>
        <v/>
      </c>
      <c r="N100" t="inlineStr">
        <is>
          <t>Alveus Ultra Cuvee Brut — Фанагория — Белое брют</t>
        </is>
      </c>
      <c r="O100" t="inlineStr">
        <is>
          <t>Alveus Ultra Cuvee. Экстра брют белое — Фанагория — Белое экстра брют</t>
        </is>
      </c>
      <c r="P100" t="inlineStr">
        <is>
          <t>Alveus Ultra Cuvee. Экстра брют розовое — Фанагория — Розовое экстра брют</t>
        </is>
      </c>
      <c r="Q100" t="inlineStr">
        <is>
          <t>Розовое брют — Золотая Балка — Розовое брют</t>
        </is>
      </c>
      <c r="R100" t="inlineStr">
        <is>
          <t>Игристое вино выдержанное полусладкое розовое «Новый Свет. Пино Фран» — Новый Свет. Дом шампанских вин — Розовое полусладкое</t>
        </is>
      </c>
      <c r="S100" s="3" t="n">
        <v>0.3068480789661407</v>
      </c>
      <c r="T100" s="3" t="n">
        <v>0.6495973467826843</v>
      </c>
      <c r="U100" t="n">
        <v>927.64</v>
      </c>
    </row>
    <row r="101">
      <c r="A101" t="inlineStr">
        <is>
          <t>97.23_05-09-2026_15-34-36.webp</t>
        </is>
      </c>
      <c r="B101" t="inlineStr">
        <is>
          <t>не уверен</t>
        </is>
      </c>
      <c r="C101" t="inlineStr">
        <is>
          <t>sovinon-blan</t>
        </is>
      </c>
      <c r="D101" t="inlineStr">
        <is>
          <t>Совиньон Блан — Литавщук. Litavshchuk vineyards &amp; winery — Белое полусладкое</t>
        </is>
      </c>
      <c r="E101" t="inlineStr">
        <is>
          <t>то что в slug полусладкое, а на фото полусухое</t>
        </is>
      </c>
      <c r="F101" t="inlineStr">
        <is>
          <t>sovinon-blan</t>
        </is>
      </c>
      <c r="G101" t="inlineStr">
        <is>
          <t>vinodelnya-begildeeva-kaberne-sovinon-krasnoe-suhoe-14</t>
        </is>
      </c>
      <c r="H101" t="inlineStr">
        <is>
          <t>kaberne-sovinon-3</t>
        </is>
      </c>
      <c r="I101" t="inlineStr">
        <is>
          <t>blagolyubov-sovinon-blan-beloe-suhoe-125</t>
        </is>
      </c>
      <c r="J101" t="inlineStr">
        <is>
          <t>vinodelnya-begildeeva-kaberne-sovinon-merlo-krasnoe-suhoe-14</t>
        </is>
      </c>
      <c r="K101">
        <f>IF(C101="","",IFERROR(MATCH(C101,F101:J101,0),"нет"))</f>
        <v/>
      </c>
      <c r="L101">
        <f>IF(C101="","",IF(K101=1,1,0))</f>
        <v/>
      </c>
      <c r="M101">
        <f>IF(C101="","",IF(ISNUMBER(K101),1,0))</f>
        <v/>
      </c>
      <c r="N101" t="inlineStr">
        <is>
          <t>Совиньон Блан — Литавщук. Litavshchuk vineyards &amp; winery — Белое полусладкое</t>
        </is>
      </c>
      <c r="O101" t="inlineStr">
        <is>
          <t>Каберне Совиньон — Винодельня Бегильдеева — Красное сухое</t>
        </is>
      </c>
      <c r="P101" t="inlineStr">
        <is>
          <t>Каберне Совиньон — Литавщук. Litavshchuk vineyards &amp; winery — Красное полусухое</t>
        </is>
      </c>
      <c r="Q101" t="inlineStr">
        <is>
          <t>Совиньон Блан — Благолюбов — Белое сухое</t>
        </is>
      </c>
      <c r="R101" t="inlineStr">
        <is>
          <t>Каберне Совиньон – Мерло — Винодельня Бегильдеева — Красное сухое</t>
        </is>
      </c>
      <c r="S101" s="3" t="n">
        <v>0.9999998807907104</v>
      </c>
      <c r="T101" s="3" t="n">
        <v>1.125351616337866e-07</v>
      </c>
      <c r="U101" t="n">
        <v>1064.36</v>
      </c>
    </row>
  </sheetData>
  <autoFilter ref="A1:U101"/>
  <conditionalFormatting sqref="F2:J101">
    <cfRule type="expression" priority="1" dxfId="0">
      <formula>AND($C2&lt;&gt;"",F2=$C2)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2026-09-27T07:53:10Z</dcterms:created>
  <dcterms:modified xsi:type="dcterms:W3CDTF">2026-09-27T07:53:10Z</dcterms:modified>
</cp:coreProperties>
</file>